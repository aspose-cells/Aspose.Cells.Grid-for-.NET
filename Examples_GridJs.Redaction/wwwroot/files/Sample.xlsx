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mpdel\tmp\demotest\GridJsDemo\wwwroot\files\"/>
    </mc:Choice>
  </mc:AlternateContent>
  <xr:revisionPtr revIDLastSave="0" documentId="13_ncr:9_{AB910B15-8C7B-4516-89B2-6828697AC7F2}" xr6:coauthVersionLast="47" xr6:coauthVersionMax="47" xr10:uidLastSave="{00000000-0000-0000-0000-000000000000}"/>
  <bookViews>
    <workbookView xWindow="-110" yWindow="-110" windowWidth="38620" windowHeight="21220" xr2:uid="{BBCBE45E-66F0-403E-8F4B-A87280294B03}"/>
  </bookViews>
  <sheets>
    <sheet name="Product List" sheetId="1" r:id="rId1"/>
    <sheet name="Catalog" sheetId="2" r:id="rId2"/>
    <sheet name="Sales" sheetId="3" r:id="rId3"/>
  </sheets>
  <calcPr calcId="191029"/>
</workbook>
</file>

<file path=xl/calcChain.xml><?xml version="1.0" encoding="utf-8"?>
<calcChain xmlns="http://schemas.openxmlformats.org/spreadsheetml/2006/main">
  <c r="A3" i="1" l="1"/>
  <c r="D62" i="1"/>
  <c r="A2" i="3"/>
  <c r="E151" i="3"/>
</calcChain>
</file>

<file path=xl/sharedStrings.xml><?xml version="1.0" encoding="utf-8"?>
<sst xmlns="http://schemas.openxmlformats.org/spreadsheetml/2006/main" count="547" uniqueCount="289">
  <si>
    <t>1994-09-21</t>
  </si>
  <si>
    <t>Mozzarella di Giovanni</t>
  </si>
  <si>
    <t>10 boxes x 20 bags</t>
  </si>
  <si>
    <t>15 - 300 g rounds</t>
  </si>
  <si>
    <t>32 - 1 kg pkgs.</t>
  </si>
  <si>
    <t>Seafood</t>
  </si>
  <si>
    <t>Filo Mix</t>
  </si>
  <si>
    <t>When Northwind Traders buyers set out to search for the</t>
  </si>
  <si>
    <t>Valkoinen suklaa</t>
  </si>
  <si>
    <t>1994-11-14</t>
  </si>
  <si>
    <t>1995-01-24</t>
  </si>
  <si>
    <t>18 - 500 g pkgs.</t>
  </si>
  <si>
    <t>1994-11-24</t>
  </si>
  <si>
    <t>1994-11-03</t>
  </si>
  <si>
    <t>Line Number</t>
  </si>
  <si>
    <t>1k pkg.</t>
  </si>
  <si>
    <t>1994-08-10</t>
  </si>
  <si>
    <t>Soft drinks, coffees, teas, beers, and ales</t>
  </si>
  <si>
    <t xml:space="preserve">you products of the highest quality from all </t>
  </si>
  <si>
    <t>1994-11-10</t>
  </si>
  <si>
    <t>Units In Stock</t>
  </si>
  <si>
    <t>20 - 1 kg tins</t>
  </si>
  <si>
    <t>Queso Manchego La Pastora</t>
  </si>
  <si>
    <t>12 boxes</t>
  </si>
  <si>
    <t>12 - 250 g pkgs.</t>
  </si>
  <si>
    <t>36 boxes</t>
  </si>
  <si>
    <t>1994-12-09</t>
  </si>
  <si>
    <t>24 - 250 g  jars</t>
  </si>
  <si>
    <t>750 cc per bottle</t>
  </si>
  <si>
    <t>1995-01-31</t>
  </si>
  <si>
    <t>Cheeses</t>
  </si>
  <si>
    <t>12 - 100 g pkgs</t>
  </si>
  <si>
    <t>1994-08-15</t>
  </si>
  <si>
    <t>48 pies</t>
  </si>
  <si>
    <t>1994-08-25</t>
  </si>
  <si>
    <t>Côte de Blaye</t>
  </si>
  <si>
    <t>Alice Mutton</t>
  </si>
  <si>
    <t>UnitPrice</t>
  </si>
  <si>
    <t>20 - 2 kg bags</t>
  </si>
  <si>
    <t xml:space="preserve">intriguing meringue dessert from Australia; Teatime </t>
  </si>
  <si>
    <t>Northwind Traders is committed to bringing</t>
  </si>
  <si>
    <t>1995-01-11</t>
  </si>
  <si>
    <t xml:space="preserve">Our sales representatives are ready to take your orders now. </t>
  </si>
  <si>
    <t>Tofu</t>
  </si>
  <si>
    <t>Ipoh Coffee</t>
  </si>
  <si>
    <t>Camembert Pierrot</t>
  </si>
  <si>
    <t>100 - 250 g bags</t>
  </si>
  <si>
    <t>Produce</t>
  </si>
  <si>
    <t>1994-10-27</t>
  </si>
  <si>
    <t xml:space="preserve">And for a taste of something sweet, try Pavlova, the </t>
  </si>
  <si>
    <t>32 - 8 oz bottles</t>
  </si>
  <si>
    <t>Seaweed and fish</t>
  </si>
  <si>
    <t>Carnarvon Tigers</t>
  </si>
  <si>
    <t>Tarte au sucre</t>
  </si>
  <si>
    <t>1994-08-22</t>
  </si>
  <si>
    <t>Queso Cabrales</t>
  </si>
  <si>
    <t>500 g</t>
  </si>
  <si>
    <t>Lakkalikööri</t>
  </si>
  <si>
    <t>1994-09-16</t>
  </si>
  <si>
    <t>SUM</t>
  </si>
  <si>
    <t>Jack's New England Clam Chowder</t>
  </si>
  <si>
    <t>1994-09-26</t>
  </si>
  <si>
    <t>30 gift boxes</t>
  </si>
  <si>
    <t>Wonders of the Gastronomic World they found a lot more</t>
  </si>
  <si>
    <t>Chef Anton's Cajun Seasoning</t>
  </si>
  <si>
    <t>24 - 500 g pkgs.</t>
  </si>
  <si>
    <t>1994-11-23</t>
  </si>
  <si>
    <t>Spegesild</t>
  </si>
  <si>
    <t>1994-12-07</t>
  </si>
  <si>
    <t>1994-12-27</t>
  </si>
  <si>
    <t>in our Fall Catalog.</t>
  </si>
  <si>
    <t>Sirop d'érable</t>
  </si>
  <si>
    <t>Breads, crackers, pasta, and cereal</t>
  </si>
  <si>
    <t>Inlagd Sill</t>
  </si>
  <si>
    <t>Chai</t>
  </si>
  <si>
    <t>sure to please even the most discerning palates.</t>
  </si>
  <si>
    <t>Chartreuse verte</t>
  </si>
  <si>
    <t>5 kg pkg.</t>
  </si>
  <si>
    <t>Pâté chinois</t>
  </si>
  <si>
    <t>1994-08-11</t>
  </si>
  <si>
    <t>1995-01-19</t>
  </si>
  <si>
    <t>1994-08-31</t>
  </si>
  <si>
    <t>Beverages</t>
  </si>
  <si>
    <t>Confections</t>
  </si>
  <si>
    <t>15 - 625 g jars</t>
  </si>
  <si>
    <t>Gustaf's Knäckebröd</t>
  </si>
  <si>
    <t>10 kg pkg.</t>
  </si>
  <si>
    <t>on the last page of this catalog.</t>
  </si>
  <si>
    <t>24 pkgs. x 4 pieces</t>
  </si>
  <si>
    <t>24 - 50 g pkgs.</t>
  </si>
  <si>
    <t>10 boxes x 12 pieces</t>
  </si>
  <si>
    <t>refreshing Lakkalikööri.</t>
  </si>
  <si>
    <t xml:space="preserve">completely satisfied with any of our products, </t>
  </si>
  <si>
    <t>20 bags x 4 pieces</t>
  </si>
  <si>
    <t>Escargots de Bourgogne</t>
  </si>
  <si>
    <t>16 kg pkg.</t>
  </si>
  <si>
    <t>24 - 200 g pkgs.</t>
  </si>
  <si>
    <t>1994-10-03</t>
  </si>
  <si>
    <t>100 - 100 g pieces</t>
  </si>
  <si>
    <t>you may return them to us for a full refund.</t>
  </si>
  <si>
    <t>Laughing Lumberjack Lager</t>
  </si>
  <si>
    <t>1994-11-08</t>
  </si>
  <si>
    <t>Order ID</t>
  </si>
  <si>
    <t>1995-01-16</t>
  </si>
  <si>
    <t>Chang</t>
  </si>
  <si>
    <t>1994-09-12</t>
  </si>
  <si>
    <t>1994-09-02</t>
  </si>
  <si>
    <t xml:space="preserve">Lumberjack Lager, robust Rhönbräu Klosterbier, and </t>
  </si>
  <si>
    <t>12 - 12 oz jars</t>
  </si>
  <si>
    <t>16 - 500 g tins</t>
  </si>
  <si>
    <t>Perth Pasties</t>
  </si>
  <si>
    <t>Ravioli Angelo</t>
  </si>
  <si>
    <t>1995-01-26</t>
  </si>
  <si>
    <t>1994-10-26</t>
  </si>
  <si>
    <t>2 kg box</t>
  </si>
  <si>
    <t>1994-10-12</t>
  </si>
  <si>
    <t>24 - 250 ml bottles</t>
  </si>
  <si>
    <t>Nord-Ost Matjeshering</t>
  </si>
  <si>
    <t>50 - 300 g pkgs.</t>
  </si>
  <si>
    <t xml:space="preserve">over the world. If at any time you are not </t>
  </si>
  <si>
    <t>24 - 0.5 l bottles</t>
  </si>
  <si>
    <t xml:space="preserve">Chocolate Biscuits from England, tasty Maxilaku from </t>
  </si>
  <si>
    <t>1994-09-27</t>
  </si>
  <si>
    <t>48 pieces</t>
  </si>
  <si>
    <t>12 - 8 oz jars</t>
  </si>
  <si>
    <t>24 - 12 oz bottles</t>
  </si>
  <si>
    <t>Product Name</t>
  </si>
  <si>
    <t>Tour the Gastronomic</t>
  </si>
  <si>
    <t>Dried fruit and bean curd</t>
  </si>
  <si>
    <t>1994-12-16</t>
  </si>
  <si>
    <t>1994-12-06</t>
  </si>
  <si>
    <t>Vegie-spread</t>
  </si>
  <si>
    <t>10 boxes x 8 pieces</t>
  </si>
  <si>
    <t>Prepared meats</t>
  </si>
  <si>
    <t>Louisiana Hot Spiced Okra</t>
  </si>
  <si>
    <t>1995-02-16</t>
  </si>
  <si>
    <t>Zaanse koeken</t>
  </si>
  <si>
    <t>1994-11-25</t>
  </si>
  <si>
    <t>Aniseed Syrup</t>
  </si>
  <si>
    <t>1994-09-28</t>
  </si>
  <si>
    <t>1994-10-06</t>
  </si>
  <si>
    <t>Røgede sild</t>
  </si>
  <si>
    <t>Sales by Year</t>
  </si>
  <si>
    <t>Dairy Products</t>
  </si>
  <si>
    <t>20 - 450 g glasses</t>
  </si>
  <si>
    <t>1994-08-16</t>
  </si>
  <si>
    <t>12 - 12 oz cans</t>
  </si>
  <si>
    <t>1995-01-02</t>
  </si>
  <si>
    <t>1994-11-18</t>
  </si>
  <si>
    <t>32 - 500 g boxes</t>
  </si>
  <si>
    <t>1994-08-23</t>
  </si>
  <si>
    <t>1994-11-28</t>
  </si>
  <si>
    <t>40 - 100 g pkgs.</t>
  </si>
  <si>
    <t>Geitost</t>
  </si>
  <si>
    <t>Longlife Tofu</t>
  </si>
  <si>
    <t>Singaporean Hokkien Fried Mee</t>
  </si>
  <si>
    <t>Scottish Longbreads</t>
  </si>
  <si>
    <t>50 bags x 30 sausgs.</t>
  </si>
  <si>
    <t>1994-12-26</t>
  </si>
  <si>
    <t>Grains/Cereals</t>
  </si>
  <si>
    <t>12 - 355 ml cans</t>
  </si>
  <si>
    <t>1994-10-11</t>
  </si>
  <si>
    <t>1994-09-13</t>
  </si>
  <si>
    <t>10 pkgs.</t>
  </si>
  <si>
    <t>1994-09-23</t>
  </si>
  <si>
    <t>10 - 200 g glasses</t>
  </si>
  <si>
    <t>1994-10-19</t>
  </si>
  <si>
    <t>24 - 355 ml bottles</t>
  </si>
  <si>
    <t>Röd Kaviar</t>
  </si>
  <si>
    <t>1994-12-12</t>
  </si>
  <si>
    <t>Shipped Date</t>
  </si>
  <si>
    <t>Finland; and the Berlin speciality, NuNuCa Nuß-Nougat-</t>
  </si>
  <si>
    <t>Condiments</t>
  </si>
  <si>
    <t>1994-09-06</t>
  </si>
  <si>
    <t>1995-01-18</t>
  </si>
  <si>
    <t>1994-11-11</t>
  </si>
  <si>
    <t>1994-09-14</t>
  </si>
  <si>
    <t>1994-11-21</t>
  </si>
  <si>
    <t>10 - 4 oz boxes</t>
  </si>
  <si>
    <t>1994-08-12</t>
  </si>
  <si>
    <t xml:space="preserve">The beverages and confections we're featuring this fall are </t>
  </si>
  <si>
    <t>12 - 1 lb pkgs.</t>
  </si>
  <si>
    <t xml:space="preserve">For thirst quenchers, try exotic Chang, hearty Laughing </t>
  </si>
  <si>
    <t>1994-12-19</t>
  </si>
  <si>
    <t>NuNuCa Nuß-Nougat-Creme</t>
  </si>
  <si>
    <t>1994-12-29</t>
  </si>
  <si>
    <t>1994-10-05</t>
  </si>
  <si>
    <t>1994-10-25</t>
  </si>
  <si>
    <t>Gravad lax</t>
  </si>
  <si>
    <t>24 boxes x 2 pies</t>
  </si>
  <si>
    <t>12 - 200 ml jars</t>
  </si>
  <si>
    <t>Sweet and savory sauces, relishes, spreads, and seasonings</t>
  </si>
  <si>
    <t>1994-11-04</t>
  </si>
  <si>
    <t>1994-09-09</t>
  </si>
  <si>
    <t>24 - 8 oz jars</t>
  </si>
  <si>
    <t>10 - 500 g pkgs.</t>
  </si>
  <si>
    <t>25 - 825 g cans</t>
  </si>
  <si>
    <t>Wimmers gute Semmelknödel</t>
  </si>
  <si>
    <t>Maxilaku</t>
  </si>
  <si>
    <t>1994-10-18</t>
  </si>
  <si>
    <t>1995-01-27</t>
  </si>
  <si>
    <t>Rössle Sauerkraut</t>
  </si>
  <si>
    <t>Alphabetical List of Products</t>
  </si>
  <si>
    <t>1995-01-13</t>
  </si>
  <si>
    <t>1995-01-03</t>
  </si>
  <si>
    <t>1995-01-23</t>
  </si>
  <si>
    <t>Mishi Kobe Niku</t>
  </si>
  <si>
    <t>Quantity Per Unit</t>
  </si>
  <si>
    <t>ProductName</t>
  </si>
  <si>
    <t>Genen Shouyu</t>
  </si>
  <si>
    <t>24 - 250 g pkgs.</t>
  </si>
  <si>
    <t>Rhönbräu Klosterbier</t>
  </si>
  <si>
    <t>P鈚?chinois</t>
  </si>
  <si>
    <t>Gumbär Gummibärchen</t>
  </si>
  <si>
    <t>12 - 75 cl bottles</t>
  </si>
  <si>
    <t>Sir Rodney's Scones</t>
  </si>
  <si>
    <t>Boston Crab Meat</t>
  </si>
  <si>
    <t>Thüringer Rostbratwurst</t>
  </si>
  <si>
    <t>Raclette Courdavault</t>
  </si>
  <si>
    <t>1995-01-04</t>
  </si>
  <si>
    <t>12 - 100 g bars</t>
  </si>
  <si>
    <t>Teatime Chocolate Biscuits</t>
  </si>
  <si>
    <t>1994-09-30</t>
  </si>
  <si>
    <t>Mascarpone Fabioli</t>
  </si>
  <si>
    <t>Ikura</t>
  </si>
  <si>
    <t>16 - 2 kg boxes</t>
  </si>
  <si>
    <t>1994-10-28</t>
  </si>
  <si>
    <t>24 pieces</t>
  </si>
  <si>
    <t>1994-12-05</t>
  </si>
  <si>
    <t>Louisiana Fiery Hot Pepper Sauce</t>
  </si>
  <si>
    <t>Outback Lager</t>
  </si>
  <si>
    <t>1995-01-30</t>
  </si>
  <si>
    <t>1995-01-20</t>
  </si>
  <si>
    <t>Guaraná Fantástica</t>
  </si>
  <si>
    <t>12 - 550 ml bottles</t>
  </si>
  <si>
    <t>Gorgonzola Telino</t>
  </si>
  <si>
    <t xml:space="preserve">For your convenience, we've included details on ordering </t>
  </si>
  <si>
    <t>Pavlova</t>
  </si>
  <si>
    <t>1995-01-09</t>
  </si>
  <si>
    <t>Konbu</t>
  </si>
  <si>
    <t xml:space="preserve">than seven of them. And here they are--tastefully presented </t>
  </si>
  <si>
    <t>QuantityPerUnit</t>
  </si>
  <si>
    <t>1994-11-09</t>
  </si>
  <si>
    <t>Sales</t>
  </si>
  <si>
    <t>1994-11-29</t>
  </si>
  <si>
    <t>Desserts, candies, and sweet breads</t>
  </si>
  <si>
    <t>Grandma's Boysenberry Spread</t>
  </si>
  <si>
    <t>1994-12-28</t>
  </si>
  <si>
    <t>1994-10-24</t>
  </si>
  <si>
    <t>24 - 500 ml bottles</t>
  </si>
  <si>
    <t>Meat/Poultry</t>
  </si>
  <si>
    <t>Manjimup Dried Apples</t>
  </si>
  <si>
    <t>Tunnbröd</t>
  </si>
  <si>
    <t>1994-11-17</t>
  </si>
  <si>
    <t>24 - 4 oz tins</t>
  </si>
  <si>
    <t>Schoggi Schokolade</t>
  </si>
  <si>
    <t>ProductID</t>
  </si>
  <si>
    <t>NuNuCa Nu?Nougat-Creme</t>
  </si>
  <si>
    <t>Steeleye Stout</t>
  </si>
  <si>
    <t>1994-12-21</t>
  </si>
  <si>
    <t>1994-10-13</t>
  </si>
  <si>
    <t>1994-10-04</t>
  </si>
  <si>
    <t>Sasquatch Ale</t>
  </si>
  <si>
    <t>1 kg pkg.</t>
  </si>
  <si>
    <t>16 pies</t>
  </si>
  <si>
    <t>Commitment to Quality</t>
  </si>
  <si>
    <t>Category Name</t>
  </si>
  <si>
    <t>Gula Malacca</t>
  </si>
  <si>
    <t>Uncle Bob's Organic Dried Pears</t>
  </si>
  <si>
    <t>12 - 500 g pkgs.</t>
  </si>
  <si>
    <t>Creme.</t>
  </si>
  <si>
    <t>4 - 450 g glasses</t>
  </si>
  <si>
    <t>48 - 6 oz jars</t>
  </si>
  <si>
    <t>1994-08-17</t>
  </si>
  <si>
    <t>Gnocchi di nonna Alice</t>
  </si>
  <si>
    <t>1994-10-14</t>
  </si>
  <si>
    <t>500 ml</t>
  </si>
  <si>
    <t>Gudbrandsdalsost</t>
  </si>
  <si>
    <t>1994-08-30</t>
  </si>
  <si>
    <t>1994-08-29</t>
  </si>
  <si>
    <t>Fløtemysost</t>
  </si>
  <si>
    <t>24 - 150 g jars</t>
  </si>
  <si>
    <t>Original Frankfurter grüne Soße</t>
  </si>
  <si>
    <t>Sir Rodney's Marmalade</t>
  </si>
  <si>
    <t>Chocolade</t>
  </si>
  <si>
    <t>Chef Anton's Gumbo Mix</t>
  </si>
  <si>
    <t>Tourtière</t>
  </si>
  <si>
    <t>Northwoods Cranberry Sauce</t>
  </si>
  <si>
    <t>1995-01-25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</si>
</sst>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¥&quot;#,##0.00;[Red]&quot;¥&quot;\-#,##0.00"/>
    <numFmt numFmtId="184" formatCode="yyyy\/m\/d;@"/>
    <numFmt numFmtId="185" formatCode="\$#,##0;\-\$#,##0"/>
    <numFmt numFmtId="186" formatCode="\$#,##0.00;\-\$#,##0.00"/>
  </numFmts>
  <fonts count="20" x14ac:knownFonts="1">
    <font>
      <sz val="10"/>
      <name val="Arial"/>
      <family val="2"/>
    </font>
    <font>
      <sz val="12"/>
      <color indexed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0"/>
      <color indexed="12"/>
      <name val="Times New Roman"/>
      <family val="1"/>
    </font>
    <font>
      <i/>
      <sz val="10"/>
      <color indexed="61"/>
      <name val="Times New Roman"/>
      <family val="1"/>
    </font>
    <font>
      <b/>
      <sz val="10"/>
      <color indexed="61"/>
      <name val="Times New Roman"/>
      <family val="1"/>
    </font>
    <font>
      <sz val="10"/>
      <color indexed="8"/>
      <name val="Arial"/>
      <family val="2"/>
    </font>
    <font>
      <b/>
      <sz val="12"/>
      <color indexed="8"/>
      <name val="宋体"/>
      <charset val="134"/>
    </font>
    <font>
      <b/>
      <i/>
      <sz val="14"/>
      <color indexed="16"/>
      <name val="Times New Roman"/>
      <family val="1"/>
    </font>
    <font>
      <i/>
      <sz val="12"/>
      <color indexed="56"/>
      <name val="Times New Roman"/>
      <family val="1"/>
    </font>
    <font>
      <b/>
      <i/>
      <sz val="18"/>
      <color indexed="12"/>
      <name val="Times New Roman"/>
      <family val="1"/>
    </font>
    <font>
      <b/>
      <i/>
      <sz val="10"/>
      <color indexed="12"/>
      <name val="Times New Roman"/>
      <family val="1"/>
    </font>
    <font>
      <b/>
      <sz val="14"/>
      <color indexed="12"/>
      <name val="Times New Roman"/>
      <family val="1"/>
    </font>
    <font>
      <i/>
      <sz val="10"/>
      <color indexed="12"/>
      <name val="Times New Roman"/>
      <family val="1"/>
    </font>
    <font>
      <sz val="12"/>
      <color indexed="8"/>
      <name val="Times New Roman"/>
      <family val="1"/>
    </font>
    <font>
      <b/>
      <sz val="10"/>
      <color indexed="8"/>
      <name val="Arial"/>
      <family val="2"/>
    </font>
    <font>
      <b/>
      <i/>
      <sz val="18"/>
      <color indexed="8"/>
      <name val="Arial"/>
      <family val="2"/>
    </font>
    <font>
      <sz val="12"/>
      <color indexed="8"/>
      <name val="Arial"/>
      <family val="2"/>
    </font>
    <font>
      <sz val="9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2" fillId="0" borderId="0" xfId="0" applyNumberFormat="1" applyFont="1" applyAlignment="1">
      <alignment horizontal="left" vertical="center"/>
    </xf>
    <xf numFmtId="0" fontId="3" fillId="2" borderId="1" xfId="0" applyNumberFormat="1" applyFont="1" applyFill="1" applyBorder="1" applyAlignment="1">
      <alignment horizontal="left" vertical="center"/>
    </xf>
    <xf numFmtId="0" fontId="3" fillId="2" borderId="2" xfId="0" applyNumberFormat="1" applyFont="1" applyFill="1" applyBorder="1" applyAlignment="1">
      <alignment horizontal="left" vertical="center"/>
    </xf>
    <xf numFmtId="0" fontId="3" fillId="2" borderId="3" xfId="0" applyNumberFormat="1" applyFont="1" applyFill="1" applyBorder="1" applyAlignment="1">
      <alignment horizontal="left"/>
    </xf>
    <xf numFmtId="0" fontId="4" fillId="0" borderId="4" xfId="0" applyNumberFormat="1" applyFont="1" applyBorder="1" applyAlignment="1">
      <alignment horizontal="left" vertical="center"/>
    </xf>
    <xf numFmtId="0" fontId="2" fillId="0" borderId="5" xfId="0" applyNumberFormat="1" applyFont="1" applyBorder="1" applyAlignment="1">
      <alignment horizontal="left" vertical="center"/>
    </xf>
    <xf numFmtId="0" fontId="5" fillId="0" borderId="5" xfId="0" applyNumberFormat="1" applyFont="1" applyBorder="1" applyAlignment="1">
      <alignment horizontal="left" vertical="center"/>
    </xf>
    <xf numFmtId="0" fontId="2" fillId="0" borderId="6" xfId="0" applyNumberFormat="1" applyFont="1" applyBorder="1" applyAlignment="1">
      <alignment horizontal="right" vertical="center"/>
    </xf>
    <xf numFmtId="0" fontId="2" fillId="0" borderId="5" xfId="0" applyNumberFormat="1" applyFont="1" applyBorder="1" applyAlignment="1">
      <alignment horizontal="right" vertical="center"/>
    </xf>
    <xf numFmtId="0" fontId="5" fillId="0" borderId="5" xfId="0" applyNumberFormat="1" applyFont="1" applyBorder="1" applyAlignment="1">
      <alignment horizontal="right" vertical="center"/>
    </xf>
    <xf numFmtId="0" fontId="4" fillId="0" borderId="7" xfId="0" applyNumberFormat="1" applyFont="1" applyBorder="1" applyAlignment="1">
      <alignment horizontal="left" vertical="center"/>
    </xf>
    <xf numFmtId="0" fontId="2" fillId="0" borderId="8" xfId="0" applyNumberFormat="1" applyFont="1" applyBorder="1" applyAlignment="1">
      <alignment horizontal="left" vertical="center"/>
    </xf>
    <xf numFmtId="0" fontId="5" fillId="0" borderId="8" xfId="0" applyNumberFormat="1" applyFont="1" applyBorder="1" applyAlignment="1">
      <alignment horizontal="left" vertical="center"/>
    </xf>
    <xf numFmtId="0" fontId="2" fillId="0" borderId="9" xfId="0" applyNumberFormat="1" applyFont="1" applyBorder="1" applyAlignment="1">
      <alignment horizontal="right" vertical="center"/>
    </xf>
    <xf numFmtId="0" fontId="6" fillId="0" borderId="10" xfId="0" applyNumberFormat="1" applyFont="1" applyBorder="1" applyAlignment="1">
      <alignment horizontal="left" vertical="center"/>
    </xf>
    <xf numFmtId="0" fontId="7" fillId="0" borderId="11" xfId="0" applyNumberFormat="1" applyFont="1" applyBorder="1" applyAlignment="1">
      <alignment horizontal="left" vertical="center"/>
    </xf>
    <xf numFmtId="0" fontId="8" fillId="0" borderId="12" xfId="0" applyNumberFormat="1" applyFont="1" applyBorder="1" applyAlignment="1">
      <alignment horizontal="left" vertical="center"/>
    </xf>
    <xf numFmtId="0" fontId="2" fillId="0" borderId="13" xfId="0" applyNumberFormat="1" applyFont="1" applyBorder="1" applyAlignment="1">
      <alignment horizontal="left" vertical="center"/>
    </xf>
    <xf numFmtId="0" fontId="7" fillId="0" borderId="14" xfId="0" applyNumberFormat="1" applyFont="1" applyBorder="1" applyAlignment="1">
      <alignment horizontal="left" vertical="center"/>
    </xf>
    <xf numFmtId="0" fontId="2" fillId="0" borderId="0" xfId="0" applyNumberFormat="1" applyFont="1" applyAlignment="1">
      <alignment horizontal="center" vertical="center"/>
    </xf>
    <xf numFmtId="0" fontId="2" fillId="0" borderId="15" xfId="0" applyNumberFormat="1" applyFont="1" applyBorder="1" applyAlignment="1">
      <alignment horizontal="left" vertical="center"/>
    </xf>
    <xf numFmtId="0" fontId="2" fillId="0" borderId="16" xfId="0" applyNumberFormat="1" applyFont="1" applyBorder="1" applyAlignment="1">
      <alignment horizontal="left" vertical="center"/>
    </xf>
    <xf numFmtId="0" fontId="12" fillId="0" borderId="0" xfId="0" applyNumberFormat="1" applyFont="1" applyAlignment="1">
      <alignment horizontal="left" vertical="center"/>
    </xf>
    <xf numFmtId="0" fontId="13" fillId="0" borderId="0" xfId="0" applyNumberFormat="1" applyFont="1" applyAlignment="1">
      <alignment horizontal="left"/>
    </xf>
    <xf numFmtId="0" fontId="14" fillId="0" borderId="0" xfId="0" applyNumberFormat="1" applyFont="1" applyAlignment="1">
      <alignment horizontal="left"/>
    </xf>
    <xf numFmtId="0" fontId="15" fillId="3" borderId="0" xfId="0" applyNumberFormat="1" applyFont="1" applyFill="1" applyAlignment="1">
      <alignment horizontal="left" vertical="center"/>
    </xf>
    <xf numFmtId="0" fontId="15" fillId="3" borderId="0" xfId="0" applyNumberFormat="1" applyFont="1" applyFill="1" applyAlignment="1">
      <alignment horizontal="center" vertical="center"/>
    </xf>
    <xf numFmtId="0" fontId="16" fillId="0" borderId="0" xfId="0" applyNumberFormat="1" applyFont="1" applyAlignment="1">
      <alignment horizontal="left"/>
    </xf>
    <xf numFmtId="8" fontId="2" fillId="0" borderId="0" xfId="0" applyNumberFormat="1" applyFont="1" applyAlignment="1">
      <alignment horizontal="right"/>
    </xf>
    <xf numFmtId="0" fontId="7" fillId="0" borderId="0" xfId="0" applyNumberFormat="1" applyFont="1" applyAlignment="1">
      <alignment horizontal="center" vertical="center"/>
    </xf>
    <xf numFmtId="185" fontId="7" fillId="0" borderId="0" xfId="0" applyNumberFormat="1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7" fillId="0" borderId="17" xfId="0" applyNumberFormat="1" applyFont="1" applyBorder="1" applyAlignment="1">
      <alignment horizontal="left" vertical="center"/>
    </xf>
    <xf numFmtId="0" fontId="7" fillId="0" borderId="17" xfId="0" applyNumberFormat="1" applyFont="1" applyBorder="1" applyAlignment="1">
      <alignment horizontal="center" vertical="center"/>
    </xf>
    <xf numFmtId="14" fontId="7" fillId="0" borderId="17" xfId="0" applyNumberFormat="1" applyFont="1" applyBorder="1" applyAlignment="1">
      <alignment horizontal="center" vertical="center"/>
    </xf>
    <xf numFmtId="185" fontId="7" fillId="0" borderId="17" xfId="0" applyNumberFormat="1" applyFont="1" applyBorder="1" applyAlignment="1">
      <alignment horizontal="center" vertical="center"/>
    </xf>
    <xf numFmtId="0" fontId="16" fillId="0" borderId="0" xfId="0" applyNumberFormat="1" applyFont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185" fontId="16" fillId="0" borderId="0" xfId="0" applyNumberFormat="1" applyFont="1" applyAlignment="1">
      <alignment horizontal="center" vertical="center"/>
    </xf>
    <xf numFmtId="0" fontId="7" fillId="4" borderId="5" xfId="0" applyNumberFormat="1" applyFont="1" applyFill="1" applyBorder="1" applyAlignment="1">
      <alignment horizontal="center" vertical="center"/>
    </xf>
    <xf numFmtId="14" fontId="7" fillId="4" borderId="5" xfId="0" applyNumberFormat="1" applyFont="1" applyFill="1" applyBorder="1" applyAlignment="1">
      <alignment horizontal="center" vertical="center"/>
    </xf>
    <xf numFmtId="186" fontId="7" fillId="4" borderId="5" xfId="0" applyNumberFormat="1" applyFont="1" applyFill="1" applyBorder="1" applyAlignment="1">
      <alignment horizontal="right" vertical="center"/>
    </xf>
    <xf numFmtId="0" fontId="7" fillId="4" borderId="8" xfId="0" applyNumberFormat="1" applyFont="1" applyFill="1" applyBorder="1" applyAlignment="1">
      <alignment horizontal="center" vertical="center"/>
    </xf>
    <xf numFmtId="14" fontId="7" fillId="4" borderId="8" xfId="0" applyNumberFormat="1" applyFont="1" applyFill="1" applyBorder="1" applyAlignment="1">
      <alignment horizontal="center" vertical="center"/>
    </xf>
    <xf numFmtId="186" fontId="7" fillId="4" borderId="8" xfId="0" applyNumberFormat="1" applyFont="1" applyFill="1" applyBorder="1" applyAlignment="1">
      <alignment horizontal="right" vertical="center"/>
    </xf>
    <xf numFmtId="0" fontId="16" fillId="4" borderId="10" xfId="0" applyNumberFormat="1" applyFont="1" applyFill="1" applyBorder="1" applyAlignment="1">
      <alignment horizontal="center" vertical="center"/>
    </xf>
    <xf numFmtId="14" fontId="16" fillId="4" borderId="11" xfId="0" applyNumberFormat="1" applyFont="1" applyFill="1" applyBorder="1" applyAlignment="1">
      <alignment horizontal="center" vertical="center"/>
    </xf>
    <xf numFmtId="0" fontId="16" fillId="4" borderId="11" xfId="0" applyNumberFormat="1" applyFont="1" applyFill="1" applyBorder="1" applyAlignment="1">
      <alignment horizontal="center" vertical="center"/>
    </xf>
    <xf numFmtId="186" fontId="16" fillId="4" borderId="18" xfId="0" applyNumberFormat="1" applyFont="1" applyFill="1" applyBorder="1" applyAlignment="1">
      <alignment horizontal="right" vertical="center"/>
    </xf>
    <xf numFmtId="0" fontId="1" fillId="3" borderId="19" xfId="0" applyNumberFormat="1" applyFont="1" applyFill="1" applyBorder="1" applyAlignment="1">
      <alignment horizontal="center" vertical="top"/>
    </xf>
    <xf numFmtId="184" fontId="1" fillId="0" borderId="0" xfId="0" applyNumberFormat="1" applyFont="1" applyAlignment="1">
      <alignment horizontal="right" vertical="center"/>
    </xf>
    <xf numFmtId="0" fontId="5" fillId="0" borderId="5" xfId="0" applyNumberFormat="1" applyFont="1" applyBorder="1" applyAlignment="1">
      <alignment horizontal="right" vertical="center"/>
    </xf>
    <xf numFmtId="0" fontId="5" fillId="0" borderId="5" xfId="0" applyNumberFormat="1" applyFont="1" applyBorder="1" applyAlignment="1">
      <alignment horizontal="left" vertical="center"/>
    </xf>
    <xf numFmtId="0" fontId="11" fillId="0" borderId="0" xfId="0" applyNumberFormat="1" applyFont="1" applyAlignment="1">
      <alignment horizontal="center" vertical="center"/>
    </xf>
    <xf numFmtId="0" fontId="10" fillId="0" borderId="14" xfId="0" applyNumberFormat="1" applyFont="1" applyBorder="1" applyAlignment="1">
      <alignment horizontal="center" vertical="center"/>
    </xf>
    <xf numFmtId="0" fontId="10" fillId="0" borderId="0" xfId="0" applyNumberFormat="1" applyFont="1" applyAlignment="1">
      <alignment horizontal="center" vertical="center"/>
    </xf>
    <xf numFmtId="0" fontId="10" fillId="0" borderId="22" xfId="0" applyNumberFormat="1" applyFont="1" applyBorder="1" applyAlignment="1">
      <alignment horizontal="center" vertical="center"/>
    </xf>
    <xf numFmtId="0" fontId="10" fillId="0" borderId="23" xfId="0" applyNumberFormat="1" applyFont="1" applyBorder="1" applyAlignment="1">
      <alignment horizontal="center" vertical="center"/>
    </xf>
    <xf numFmtId="0" fontId="12" fillId="0" borderId="0" xfId="0" applyNumberFormat="1" applyFont="1" applyAlignment="1">
      <alignment horizontal="center" vertical="center"/>
    </xf>
    <xf numFmtId="0" fontId="9" fillId="0" borderId="20" xfId="0" applyNumberFormat="1" applyFont="1" applyBorder="1" applyAlignment="1">
      <alignment horizontal="center" vertical="center"/>
    </xf>
    <xf numFmtId="0" fontId="9" fillId="0" borderId="21" xfId="0" applyNumberFormat="1" applyFont="1" applyBorder="1" applyAlignment="1">
      <alignment horizontal="center" vertical="center"/>
    </xf>
    <xf numFmtId="0" fontId="17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FFFF"/>
      <rgbColor rgb="000000FF"/>
      <rgbColor rgb="00FFFF99"/>
      <rgbColor rgb="00800000"/>
      <rgbColor rgb="00993300"/>
      <rgbColor rgb="00000000"/>
      <rgbColor rgb="0000FFFF"/>
      <rgbColor rgb="00FFFF00"/>
      <rgbColor rgb="000000FF"/>
      <rgbColor rgb="00FF6600"/>
      <rgbColor rgb="00000000"/>
      <rgbColor rgb="0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</xdr:row>
      <xdr:rowOff>0</xdr:rowOff>
    </xdr:from>
    <xdr:to>
      <xdr:col>5</xdr:col>
      <xdr:colOff>222250</xdr:colOff>
      <xdr:row>3</xdr:row>
      <xdr:rowOff>8584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8D4322-D828-9306-3723-33013E0A9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539750"/>
          <a:ext cx="222250" cy="2181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38100</xdr:colOff>
      <xdr:row>2</xdr:row>
      <xdr:rowOff>12700</xdr:rowOff>
    </xdr:from>
    <xdr:to>
      <xdr:col>6</xdr:col>
      <xdr:colOff>266700</xdr:colOff>
      <xdr:row>3</xdr:row>
      <xdr:rowOff>0</xdr:rowOff>
    </xdr:to>
    <xdr:sp macro="" textlink="">
      <xdr:nvSpPr>
        <xdr:cNvPr id="3" name="Teardrop 2">
          <a:extLst>
            <a:ext uri="{FF2B5EF4-FFF2-40B4-BE49-F238E27FC236}">
              <a16:creationId xmlns:a16="http://schemas.microsoft.com/office/drawing/2014/main" id="{AC8DF622-3F42-1A95-4732-79EAB42957A6}"/>
            </a:ext>
          </a:extLst>
        </xdr:cNvPr>
        <xdr:cNvSpPr/>
      </xdr:nvSpPr>
      <xdr:spPr>
        <a:xfrm>
          <a:off x="6210300" y="552450"/>
          <a:ext cx="228600" cy="196850"/>
        </a:xfrm>
        <a:prstGeom prst="teardrop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ED7A6-A775-4AF2-9385-C5D2BF9C9E5D}">
  <dimension ref="A2:D62"/>
  <sheetViews>
    <sheetView tabSelected="1" workbookViewId="0">
      <selection activeCell="F12" sqref="F12"/>
    </sheetView>
  </sheetViews>
  <sheetFormatPr defaultRowHeight="12.75" customHeight="1" x14ac:dyDescent="0.25"/>
  <cols>
    <col min="1" max="1" width="25" customWidth="1"/>
    <col min="2" max="2" width="15.26953125" customWidth="1"/>
    <col min="3" max="3" width="16.81640625" customWidth="1"/>
    <col min="4" max="4" width="13.81640625" customWidth="1"/>
  </cols>
  <sheetData>
    <row r="2" spans="1:4" ht="30" customHeight="1" thickBot="1" x14ac:dyDescent="0.3">
      <c r="A2" s="50" t="s">
        <v>202</v>
      </c>
      <c r="B2" s="50"/>
      <c r="C2" s="50"/>
      <c r="D2" s="50"/>
    </row>
    <row r="3" spans="1:4" ht="16.5" customHeight="1" thickTop="1" x14ac:dyDescent="0.25">
      <c r="A3" s="51">
        <f>DATE(2002,12,18)</f>
        <v>37608</v>
      </c>
      <c r="B3" s="51"/>
      <c r="C3" s="51"/>
      <c r="D3" s="51"/>
    </row>
    <row r="4" spans="1:4" ht="15" customHeight="1" thickBot="1" x14ac:dyDescent="0.3">
      <c r="A4" s="1"/>
      <c r="B4" s="1"/>
      <c r="C4" s="1"/>
      <c r="D4" s="1"/>
    </row>
    <row r="5" spans="1:4" ht="15.75" customHeight="1" x14ac:dyDescent="0.3">
      <c r="A5" s="2" t="s">
        <v>126</v>
      </c>
      <c r="B5" s="3" t="s">
        <v>266</v>
      </c>
      <c r="C5" s="3" t="s">
        <v>207</v>
      </c>
      <c r="D5" s="4" t="s">
        <v>20</v>
      </c>
    </row>
    <row r="6" spans="1:4" ht="14.25" customHeight="1" x14ac:dyDescent="0.25">
      <c r="A6" s="5" t="s">
        <v>138</v>
      </c>
      <c r="B6" s="6" t="s">
        <v>172</v>
      </c>
      <c r="C6" s="7" t="s">
        <v>234</v>
      </c>
      <c r="D6" s="8">
        <v>13</v>
      </c>
    </row>
    <row r="7" spans="1:4" ht="14.25" customHeight="1" x14ac:dyDescent="0.25">
      <c r="A7" s="5" t="s">
        <v>216</v>
      </c>
      <c r="B7" s="6" t="s">
        <v>5</v>
      </c>
      <c r="C7" s="7" t="s">
        <v>254</v>
      </c>
      <c r="D7" s="8">
        <v>123</v>
      </c>
    </row>
    <row r="8" spans="1:4" ht="14.25" customHeight="1" x14ac:dyDescent="0.25">
      <c r="A8" s="5" t="s">
        <v>45</v>
      </c>
      <c r="B8" s="9" t="s">
        <v>143</v>
      </c>
      <c r="C8" s="7" t="s">
        <v>3</v>
      </c>
      <c r="D8" s="8">
        <v>19</v>
      </c>
    </row>
    <row r="9" spans="1:4" ht="14.25" customHeight="1" x14ac:dyDescent="0.25">
      <c r="A9" s="5" t="s">
        <v>52</v>
      </c>
      <c r="B9" s="6" t="s">
        <v>5</v>
      </c>
      <c r="C9" s="10" t="s">
        <v>95</v>
      </c>
      <c r="D9" s="8">
        <v>42</v>
      </c>
    </row>
    <row r="10" spans="1:4" ht="14.25" customHeight="1" x14ac:dyDescent="0.25">
      <c r="A10" s="5" t="s">
        <v>74</v>
      </c>
      <c r="B10" s="6" t="s">
        <v>82</v>
      </c>
      <c r="C10" s="7" t="s">
        <v>2</v>
      </c>
      <c r="D10" s="8">
        <v>39</v>
      </c>
    </row>
    <row r="11" spans="1:4" ht="14.25" customHeight="1" x14ac:dyDescent="0.25">
      <c r="A11" s="5" t="s">
        <v>104</v>
      </c>
      <c r="B11" s="6" t="s">
        <v>82</v>
      </c>
      <c r="C11" s="10" t="s">
        <v>125</v>
      </c>
      <c r="D11" s="8">
        <v>17</v>
      </c>
    </row>
    <row r="12" spans="1:4" ht="14.25" customHeight="1" x14ac:dyDescent="0.25">
      <c r="A12" s="5" t="s">
        <v>76</v>
      </c>
      <c r="B12" s="6" t="s">
        <v>82</v>
      </c>
      <c r="C12" s="7" t="s">
        <v>28</v>
      </c>
      <c r="D12" s="8">
        <v>69</v>
      </c>
    </row>
    <row r="13" spans="1:4" ht="14.25" customHeight="1" x14ac:dyDescent="0.25">
      <c r="A13" s="5" t="s">
        <v>64</v>
      </c>
      <c r="B13" s="6" t="s">
        <v>172</v>
      </c>
      <c r="C13" s="7" t="s">
        <v>272</v>
      </c>
      <c r="D13" s="8">
        <v>53</v>
      </c>
    </row>
    <row r="14" spans="1:4" ht="14.25" customHeight="1" x14ac:dyDescent="0.25">
      <c r="A14" s="5" t="s">
        <v>284</v>
      </c>
      <c r="B14" s="6" t="s">
        <v>83</v>
      </c>
      <c r="C14" s="7" t="s">
        <v>163</v>
      </c>
      <c r="D14" s="8">
        <v>15</v>
      </c>
    </row>
    <row r="15" spans="1:4" ht="14.25" customHeight="1" x14ac:dyDescent="0.25">
      <c r="A15" s="5" t="s">
        <v>94</v>
      </c>
      <c r="B15" s="6" t="s">
        <v>5</v>
      </c>
      <c r="C15" s="7" t="s">
        <v>227</v>
      </c>
      <c r="D15" s="8">
        <v>62</v>
      </c>
    </row>
    <row r="16" spans="1:4" ht="14.25" customHeight="1" x14ac:dyDescent="0.25">
      <c r="A16" s="5" t="s">
        <v>6</v>
      </c>
      <c r="B16" s="6" t="s">
        <v>159</v>
      </c>
      <c r="C16" s="7" t="s">
        <v>225</v>
      </c>
      <c r="D16" s="8">
        <v>38</v>
      </c>
    </row>
    <row r="17" spans="1:4" ht="14.25" customHeight="1" x14ac:dyDescent="0.25">
      <c r="A17" s="5" t="s">
        <v>153</v>
      </c>
      <c r="B17" s="6" t="s">
        <v>143</v>
      </c>
      <c r="C17" s="52" t="s">
        <v>56</v>
      </c>
      <c r="D17" s="8">
        <v>112</v>
      </c>
    </row>
    <row r="18" spans="1:4" ht="14.25" customHeight="1" x14ac:dyDescent="0.25">
      <c r="A18" s="5" t="s">
        <v>209</v>
      </c>
      <c r="B18" s="6" t="s">
        <v>172</v>
      </c>
      <c r="C18" s="53"/>
      <c r="D18" s="8">
        <v>39</v>
      </c>
    </row>
    <row r="19" spans="1:4" ht="14.25" customHeight="1" x14ac:dyDescent="0.25">
      <c r="A19" s="5" t="s">
        <v>274</v>
      </c>
      <c r="B19" s="6" t="s">
        <v>159</v>
      </c>
      <c r="C19" s="53"/>
      <c r="D19" s="8">
        <v>21</v>
      </c>
    </row>
    <row r="20" spans="1:4" ht="14.25" customHeight="1" x14ac:dyDescent="0.25">
      <c r="A20" s="5" t="s">
        <v>235</v>
      </c>
      <c r="B20" s="6" t="s">
        <v>143</v>
      </c>
      <c r="C20" s="53"/>
      <c r="D20" s="8">
        <v>0</v>
      </c>
    </row>
    <row r="21" spans="1:4" ht="14.25" customHeight="1" x14ac:dyDescent="0.25">
      <c r="A21" s="5" t="s">
        <v>246</v>
      </c>
      <c r="B21" s="6" t="s">
        <v>172</v>
      </c>
      <c r="C21" s="7" t="s">
        <v>124</v>
      </c>
      <c r="D21" s="8">
        <v>120</v>
      </c>
    </row>
    <row r="22" spans="1:4" ht="14.25" customHeight="1" x14ac:dyDescent="0.25">
      <c r="A22" s="5" t="s">
        <v>188</v>
      </c>
      <c r="B22" s="6" t="s">
        <v>5</v>
      </c>
      <c r="C22" s="7" t="s">
        <v>269</v>
      </c>
      <c r="D22" s="8">
        <v>11</v>
      </c>
    </row>
    <row r="23" spans="1:4" ht="14.25" customHeight="1" x14ac:dyDescent="0.25">
      <c r="A23" s="5" t="s">
        <v>277</v>
      </c>
      <c r="B23" s="6" t="s">
        <v>143</v>
      </c>
      <c r="C23" s="7" t="s">
        <v>86</v>
      </c>
      <c r="D23" s="8">
        <v>26</v>
      </c>
    </row>
    <row r="24" spans="1:4" ht="14.25" customHeight="1" x14ac:dyDescent="0.25">
      <c r="A24" s="5" t="s">
        <v>267</v>
      </c>
      <c r="B24" s="6" t="s">
        <v>172</v>
      </c>
      <c r="C24" s="7" t="s">
        <v>38</v>
      </c>
      <c r="D24" s="8">
        <v>27</v>
      </c>
    </row>
    <row r="25" spans="1:4" ht="14.25" customHeight="1" x14ac:dyDescent="0.25">
      <c r="A25" s="5" t="s">
        <v>224</v>
      </c>
      <c r="B25" s="6" t="s">
        <v>5</v>
      </c>
      <c r="C25" s="7" t="s">
        <v>190</v>
      </c>
      <c r="D25" s="8">
        <v>31</v>
      </c>
    </row>
    <row r="26" spans="1:4" ht="14.25" customHeight="1" x14ac:dyDescent="0.25">
      <c r="A26" s="5" t="s">
        <v>73</v>
      </c>
      <c r="B26" s="6" t="s">
        <v>5</v>
      </c>
      <c r="C26" s="7" t="s">
        <v>27</v>
      </c>
      <c r="D26" s="8">
        <v>112</v>
      </c>
    </row>
    <row r="27" spans="1:4" ht="14.25" customHeight="1" x14ac:dyDescent="0.25">
      <c r="A27" s="5" t="s">
        <v>44</v>
      </c>
      <c r="B27" s="6" t="s">
        <v>82</v>
      </c>
      <c r="C27" s="7" t="s">
        <v>109</v>
      </c>
      <c r="D27" s="8">
        <v>17</v>
      </c>
    </row>
    <row r="28" spans="1:4" ht="14.25" customHeight="1" x14ac:dyDescent="0.25">
      <c r="A28" s="5" t="s">
        <v>60</v>
      </c>
      <c r="B28" s="6" t="s">
        <v>5</v>
      </c>
      <c r="C28" s="7" t="s">
        <v>146</v>
      </c>
      <c r="D28" s="8">
        <v>85</v>
      </c>
    </row>
    <row r="29" spans="1:4" ht="14.25" customHeight="1" x14ac:dyDescent="0.25">
      <c r="A29" s="5" t="s">
        <v>239</v>
      </c>
      <c r="B29" s="6" t="s">
        <v>5</v>
      </c>
      <c r="C29" s="7" t="s">
        <v>114</v>
      </c>
      <c r="D29" s="8">
        <v>24</v>
      </c>
    </row>
    <row r="30" spans="1:4" ht="14.25" customHeight="1" x14ac:dyDescent="0.25">
      <c r="A30" s="5" t="s">
        <v>100</v>
      </c>
      <c r="B30" s="6" t="s">
        <v>82</v>
      </c>
      <c r="C30" s="7" t="s">
        <v>125</v>
      </c>
      <c r="D30" s="8">
        <v>52</v>
      </c>
    </row>
    <row r="31" spans="1:4" ht="14.25" customHeight="1" x14ac:dyDescent="0.25">
      <c r="A31" s="5" t="s">
        <v>154</v>
      </c>
      <c r="B31" s="6" t="s">
        <v>47</v>
      </c>
      <c r="C31" s="7" t="s">
        <v>77</v>
      </c>
      <c r="D31" s="8">
        <v>4</v>
      </c>
    </row>
    <row r="32" spans="1:4" ht="14.25" customHeight="1" x14ac:dyDescent="0.25">
      <c r="A32" s="5" t="s">
        <v>229</v>
      </c>
      <c r="B32" s="6" t="s">
        <v>172</v>
      </c>
      <c r="C32" s="7" t="s">
        <v>50</v>
      </c>
      <c r="D32" s="8">
        <v>76</v>
      </c>
    </row>
    <row r="33" spans="1:4" ht="14.25" customHeight="1" x14ac:dyDescent="0.25">
      <c r="A33" s="5" t="s">
        <v>134</v>
      </c>
      <c r="B33" s="6" t="s">
        <v>172</v>
      </c>
      <c r="C33" s="7" t="s">
        <v>194</v>
      </c>
      <c r="D33" s="8">
        <v>4</v>
      </c>
    </row>
    <row r="34" spans="1:4" ht="14.25" customHeight="1" x14ac:dyDescent="0.25">
      <c r="A34" s="5" t="s">
        <v>251</v>
      </c>
      <c r="B34" s="6" t="s">
        <v>47</v>
      </c>
      <c r="C34" s="7" t="s">
        <v>118</v>
      </c>
      <c r="D34" s="8">
        <v>20</v>
      </c>
    </row>
    <row r="35" spans="1:4" ht="14.25" customHeight="1" x14ac:dyDescent="0.25">
      <c r="A35" s="5" t="s">
        <v>223</v>
      </c>
      <c r="B35" s="6" t="s">
        <v>143</v>
      </c>
      <c r="C35" s="7" t="s">
        <v>96</v>
      </c>
      <c r="D35" s="8">
        <v>9</v>
      </c>
    </row>
    <row r="36" spans="1:4" ht="14.25" customHeight="1" x14ac:dyDescent="0.25">
      <c r="A36" s="5" t="s">
        <v>198</v>
      </c>
      <c r="B36" s="6" t="s">
        <v>83</v>
      </c>
      <c r="C36" s="7" t="s">
        <v>89</v>
      </c>
      <c r="D36" s="8">
        <v>10</v>
      </c>
    </row>
    <row r="37" spans="1:4" ht="14.25" customHeight="1" x14ac:dyDescent="0.25">
      <c r="A37" s="5" t="s">
        <v>1</v>
      </c>
      <c r="B37" s="6" t="s">
        <v>143</v>
      </c>
      <c r="C37" s="7" t="s">
        <v>96</v>
      </c>
      <c r="D37" s="8">
        <v>14</v>
      </c>
    </row>
    <row r="38" spans="1:4" ht="14.25" customHeight="1" x14ac:dyDescent="0.25">
      <c r="A38" s="5" t="s">
        <v>117</v>
      </c>
      <c r="B38" s="6" t="s">
        <v>5</v>
      </c>
      <c r="C38" s="7" t="s">
        <v>165</v>
      </c>
      <c r="D38" s="8">
        <v>10</v>
      </c>
    </row>
    <row r="39" spans="1:4" ht="14.25" customHeight="1" x14ac:dyDescent="0.25">
      <c r="A39" s="5" t="s">
        <v>287</v>
      </c>
      <c r="B39" s="6" t="s">
        <v>172</v>
      </c>
      <c r="C39" s="7" t="s">
        <v>108</v>
      </c>
      <c r="D39" s="8">
        <v>6</v>
      </c>
    </row>
    <row r="40" spans="1:4" ht="14.25" customHeight="1" x14ac:dyDescent="0.25">
      <c r="A40" s="5" t="s">
        <v>257</v>
      </c>
      <c r="B40" s="6" t="s">
        <v>83</v>
      </c>
      <c r="C40" s="7" t="s">
        <v>144</v>
      </c>
      <c r="D40" s="8">
        <v>76</v>
      </c>
    </row>
    <row r="41" spans="1:4" ht="14.25" customHeight="1" x14ac:dyDescent="0.25">
      <c r="A41" s="5" t="s">
        <v>230</v>
      </c>
      <c r="B41" s="6" t="s">
        <v>82</v>
      </c>
      <c r="C41" s="7" t="s">
        <v>167</v>
      </c>
      <c r="D41" s="8">
        <v>15</v>
      </c>
    </row>
    <row r="42" spans="1:4" ht="14.25" customHeight="1" x14ac:dyDescent="0.25">
      <c r="A42" s="5" t="s">
        <v>237</v>
      </c>
      <c r="B42" s="6" t="s">
        <v>83</v>
      </c>
      <c r="C42" s="7" t="s">
        <v>149</v>
      </c>
      <c r="D42" s="8">
        <v>29</v>
      </c>
    </row>
    <row r="43" spans="1:4" ht="14.25" customHeight="1" x14ac:dyDescent="0.25">
      <c r="A43" s="5" t="s">
        <v>212</v>
      </c>
      <c r="B43" s="6" t="s">
        <v>250</v>
      </c>
      <c r="C43" s="7" t="s">
        <v>189</v>
      </c>
      <c r="D43" s="8">
        <v>115</v>
      </c>
    </row>
    <row r="44" spans="1:4" ht="14.25" customHeight="1" x14ac:dyDescent="0.25">
      <c r="A44" s="5" t="s">
        <v>55</v>
      </c>
      <c r="B44" s="6" t="s">
        <v>143</v>
      </c>
      <c r="C44" s="7" t="s">
        <v>263</v>
      </c>
      <c r="D44" s="8">
        <v>22</v>
      </c>
    </row>
    <row r="45" spans="1:4" ht="14.25" customHeight="1" x14ac:dyDescent="0.25">
      <c r="A45" s="5" t="s">
        <v>22</v>
      </c>
      <c r="B45" s="6" t="s">
        <v>143</v>
      </c>
      <c r="C45" s="7" t="s">
        <v>195</v>
      </c>
      <c r="D45" s="8">
        <v>86</v>
      </c>
    </row>
    <row r="46" spans="1:4" ht="14.25" customHeight="1" x14ac:dyDescent="0.25">
      <c r="A46" s="5" t="s">
        <v>218</v>
      </c>
      <c r="B46" s="6" t="s">
        <v>143</v>
      </c>
      <c r="C46" s="7" t="s">
        <v>77</v>
      </c>
      <c r="D46" s="8">
        <v>79</v>
      </c>
    </row>
    <row r="47" spans="1:4" ht="14.25" customHeight="1" x14ac:dyDescent="0.25">
      <c r="A47" s="5" t="s">
        <v>111</v>
      </c>
      <c r="B47" s="6" t="s">
        <v>159</v>
      </c>
      <c r="C47" s="7" t="s">
        <v>210</v>
      </c>
      <c r="D47" s="8">
        <v>36</v>
      </c>
    </row>
    <row r="48" spans="1:4" ht="14.25" customHeight="1" x14ac:dyDescent="0.25">
      <c r="A48" s="5" t="s">
        <v>262</v>
      </c>
      <c r="B48" s="6" t="s">
        <v>82</v>
      </c>
      <c r="C48" s="7" t="s">
        <v>125</v>
      </c>
      <c r="D48" s="8">
        <v>111</v>
      </c>
    </row>
    <row r="49" spans="1:4" ht="14.25" customHeight="1" x14ac:dyDescent="0.25">
      <c r="A49" s="5" t="s">
        <v>255</v>
      </c>
      <c r="B49" s="6" t="s">
        <v>83</v>
      </c>
      <c r="C49" s="7" t="s">
        <v>98</v>
      </c>
      <c r="D49" s="8">
        <v>49</v>
      </c>
    </row>
    <row r="50" spans="1:4" ht="14.25" customHeight="1" x14ac:dyDescent="0.25">
      <c r="A50" s="5" t="s">
        <v>156</v>
      </c>
      <c r="B50" s="6" t="s">
        <v>83</v>
      </c>
      <c r="C50" s="7" t="s">
        <v>132</v>
      </c>
      <c r="D50" s="8">
        <v>6</v>
      </c>
    </row>
    <row r="51" spans="1:4" ht="14.25" customHeight="1" x14ac:dyDescent="0.25">
      <c r="A51" s="5" t="s">
        <v>283</v>
      </c>
      <c r="B51" s="6" t="s">
        <v>83</v>
      </c>
      <c r="C51" s="7" t="s">
        <v>62</v>
      </c>
      <c r="D51" s="8">
        <v>40</v>
      </c>
    </row>
    <row r="52" spans="1:4" ht="14.25" customHeight="1" x14ac:dyDescent="0.25">
      <c r="A52" s="5" t="s">
        <v>215</v>
      </c>
      <c r="B52" s="6" t="s">
        <v>83</v>
      </c>
      <c r="C52" s="7" t="s">
        <v>88</v>
      </c>
      <c r="D52" s="8">
        <v>3</v>
      </c>
    </row>
    <row r="53" spans="1:4" ht="14.25" customHeight="1" x14ac:dyDescent="0.25">
      <c r="A53" s="5" t="s">
        <v>67</v>
      </c>
      <c r="B53" s="6" t="s">
        <v>5</v>
      </c>
      <c r="C53" s="7" t="s">
        <v>271</v>
      </c>
      <c r="D53" s="8">
        <v>95</v>
      </c>
    </row>
    <row r="54" spans="1:4" ht="14.25" customHeight="1" x14ac:dyDescent="0.25">
      <c r="A54" s="5" t="s">
        <v>258</v>
      </c>
      <c r="B54" s="6" t="s">
        <v>82</v>
      </c>
      <c r="C54" s="7" t="s">
        <v>125</v>
      </c>
      <c r="D54" s="8">
        <v>20</v>
      </c>
    </row>
    <row r="55" spans="1:4" ht="14.25" customHeight="1" x14ac:dyDescent="0.25">
      <c r="A55" s="5" t="s">
        <v>53</v>
      </c>
      <c r="B55" s="6" t="s">
        <v>83</v>
      </c>
      <c r="C55" s="7" t="s">
        <v>33</v>
      </c>
      <c r="D55" s="8">
        <v>17</v>
      </c>
    </row>
    <row r="56" spans="1:4" ht="14.25" customHeight="1" x14ac:dyDescent="0.25">
      <c r="A56" s="5" t="s">
        <v>221</v>
      </c>
      <c r="B56" s="6" t="s">
        <v>83</v>
      </c>
      <c r="C56" s="7" t="s">
        <v>90</v>
      </c>
      <c r="D56" s="8">
        <v>25</v>
      </c>
    </row>
    <row r="57" spans="1:4" ht="14.25" customHeight="1" x14ac:dyDescent="0.25">
      <c r="A57" s="5" t="s">
        <v>43</v>
      </c>
      <c r="B57" s="6" t="s">
        <v>47</v>
      </c>
      <c r="C57" s="7" t="s">
        <v>152</v>
      </c>
      <c r="D57" s="8">
        <v>35</v>
      </c>
    </row>
    <row r="58" spans="1:4" ht="14.25" customHeight="1" x14ac:dyDescent="0.25">
      <c r="A58" s="5" t="s">
        <v>268</v>
      </c>
      <c r="B58" s="6" t="s">
        <v>47</v>
      </c>
      <c r="C58" s="7" t="s">
        <v>181</v>
      </c>
      <c r="D58" s="8">
        <v>15</v>
      </c>
    </row>
    <row r="59" spans="1:4" ht="14.25" customHeight="1" x14ac:dyDescent="0.25">
      <c r="A59" s="5" t="s">
        <v>8</v>
      </c>
      <c r="B59" s="6" t="s">
        <v>83</v>
      </c>
      <c r="C59" s="7" t="s">
        <v>220</v>
      </c>
      <c r="D59" s="8">
        <v>65</v>
      </c>
    </row>
    <row r="60" spans="1:4" ht="14.25" customHeight="1" x14ac:dyDescent="0.25">
      <c r="A60" s="5" t="s">
        <v>131</v>
      </c>
      <c r="B60" s="6" t="s">
        <v>172</v>
      </c>
      <c r="C60" s="7" t="s">
        <v>84</v>
      </c>
      <c r="D60" s="8">
        <v>24</v>
      </c>
    </row>
    <row r="61" spans="1:4" ht="15" customHeight="1" x14ac:dyDescent="0.25">
      <c r="A61" s="11" t="s">
        <v>136</v>
      </c>
      <c r="B61" s="12" t="s">
        <v>83</v>
      </c>
      <c r="C61" s="13" t="s">
        <v>178</v>
      </c>
      <c r="D61" s="14">
        <v>36</v>
      </c>
    </row>
    <row r="62" spans="1:4" ht="15" customHeight="1" x14ac:dyDescent="0.25">
      <c r="A62" s="15" t="s">
        <v>59</v>
      </c>
      <c r="B62" s="16"/>
      <c r="C62" s="16"/>
      <c r="D62" s="17">
        <f>SUM(D6:D61)</f>
        <v>2319</v>
      </c>
    </row>
  </sheetData>
  <mergeCells count="3">
    <mergeCell ref="A2:D2"/>
    <mergeCell ref="A3:D3"/>
    <mergeCell ref="C17:C20"/>
  </mergeCells>
  <phoneticPr fontId="19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8E5E1-2DB9-45A2-85E1-69685D5072B6}">
  <dimension ref="A1:D150"/>
  <sheetViews>
    <sheetView workbookViewId="0"/>
  </sheetViews>
  <sheetFormatPr defaultRowHeight="12.75" customHeight="1" x14ac:dyDescent="0.25"/>
  <cols>
    <col min="1" max="1" width="30.81640625" customWidth="1"/>
    <col min="2" max="2" width="17.54296875" customWidth="1"/>
    <col min="3" max="3" width="17.7265625" customWidth="1"/>
    <col min="4" max="4" width="9.81640625" customWidth="1"/>
  </cols>
  <sheetData>
    <row r="1" spans="1:4" ht="19.5" customHeight="1" x14ac:dyDescent="0.25">
      <c r="A1" s="60" t="s">
        <v>265</v>
      </c>
      <c r="B1" s="61"/>
      <c r="C1" s="61"/>
      <c r="D1" s="18"/>
    </row>
    <row r="2" spans="1:4" ht="14.25" customHeight="1" x14ac:dyDescent="0.25">
      <c r="A2" s="19"/>
      <c r="B2" s="20"/>
      <c r="C2" s="1"/>
      <c r="D2" s="21"/>
    </row>
    <row r="3" spans="1:4" ht="15.75" customHeight="1" x14ac:dyDescent="0.25">
      <c r="A3" s="55" t="s">
        <v>40</v>
      </c>
      <c r="B3" s="56"/>
      <c r="C3" s="56"/>
      <c r="D3" s="21"/>
    </row>
    <row r="4" spans="1:4" ht="15.75" customHeight="1" x14ac:dyDescent="0.25">
      <c r="A4" s="55" t="s">
        <v>18</v>
      </c>
      <c r="B4" s="56"/>
      <c r="C4" s="56"/>
      <c r="D4" s="21"/>
    </row>
    <row r="5" spans="1:4" ht="15.75" customHeight="1" x14ac:dyDescent="0.25">
      <c r="A5" s="55" t="s">
        <v>119</v>
      </c>
      <c r="B5" s="56"/>
      <c r="C5" s="56"/>
      <c r="D5" s="21"/>
    </row>
    <row r="6" spans="1:4" ht="15.75" customHeight="1" x14ac:dyDescent="0.25">
      <c r="A6" s="55" t="s">
        <v>92</v>
      </c>
      <c r="B6" s="56"/>
      <c r="C6" s="56"/>
      <c r="D6" s="21"/>
    </row>
    <row r="7" spans="1:4" ht="15.75" customHeight="1" x14ac:dyDescent="0.25">
      <c r="A7" s="57" t="s">
        <v>99</v>
      </c>
      <c r="B7" s="58"/>
      <c r="C7" s="58"/>
      <c r="D7" s="22"/>
    </row>
    <row r="8" spans="1:4" ht="14.25" customHeight="1" x14ac:dyDescent="0.25">
      <c r="B8" s="20"/>
      <c r="C8" s="1"/>
      <c r="D8" s="1"/>
    </row>
    <row r="9" spans="1:4" ht="14.25" customHeight="1" x14ac:dyDescent="0.25">
      <c r="B9" s="20"/>
      <c r="C9" s="1"/>
      <c r="D9" s="1"/>
    </row>
    <row r="10" spans="1:4" ht="23.25" customHeight="1" x14ac:dyDescent="0.25">
      <c r="A10" s="54" t="s">
        <v>127</v>
      </c>
      <c r="B10" s="54"/>
      <c r="C10" s="54"/>
      <c r="D10" s="1"/>
    </row>
    <row r="11" spans="1:4" ht="14.25" customHeight="1" x14ac:dyDescent="0.25">
      <c r="B11" s="20"/>
      <c r="C11" s="1"/>
      <c r="D11" s="1"/>
    </row>
    <row r="12" spans="1:4" ht="14.25" customHeight="1" x14ac:dyDescent="0.25">
      <c r="A12" s="59" t="s">
        <v>7</v>
      </c>
      <c r="B12" s="59"/>
      <c r="C12" s="1"/>
      <c r="D12" s="1"/>
    </row>
    <row r="13" spans="1:4" ht="14.25" customHeight="1" x14ac:dyDescent="0.25">
      <c r="A13" s="59" t="s">
        <v>63</v>
      </c>
      <c r="B13" s="59"/>
      <c r="C13" s="1"/>
      <c r="D13" s="1"/>
    </row>
    <row r="14" spans="1:4" ht="14.25" customHeight="1" x14ac:dyDescent="0.25">
      <c r="A14" s="59" t="s">
        <v>240</v>
      </c>
      <c r="B14" s="59"/>
      <c r="C14" s="1"/>
      <c r="D14" s="1"/>
    </row>
    <row r="15" spans="1:4" ht="14.25" customHeight="1" x14ac:dyDescent="0.25">
      <c r="A15" s="59" t="s">
        <v>70</v>
      </c>
      <c r="B15" s="59"/>
      <c r="C15" s="1"/>
      <c r="D15" s="1"/>
    </row>
    <row r="16" spans="1:4" ht="14.25" customHeight="1" x14ac:dyDescent="0.25">
      <c r="A16" s="23"/>
      <c r="B16" s="20"/>
      <c r="C16" s="1"/>
      <c r="D16" s="1"/>
    </row>
    <row r="17" spans="1:4" ht="14.25" customHeight="1" x14ac:dyDescent="0.25">
      <c r="A17" s="59" t="s">
        <v>180</v>
      </c>
      <c r="B17" s="59"/>
      <c r="C17" s="1"/>
      <c r="D17" s="1"/>
    </row>
    <row r="18" spans="1:4" ht="14.25" customHeight="1" x14ac:dyDescent="0.25">
      <c r="A18" s="59" t="s">
        <v>75</v>
      </c>
      <c r="B18" s="59"/>
      <c r="C18" s="1"/>
      <c r="D18" s="1"/>
    </row>
    <row r="19" spans="1:4" ht="14.25" customHeight="1" x14ac:dyDescent="0.25">
      <c r="A19" s="23"/>
      <c r="B19" s="20"/>
      <c r="C19" s="1"/>
      <c r="D19" s="1"/>
    </row>
    <row r="20" spans="1:4" ht="14.25" customHeight="1" x14ac:dyDescent="0.25">
      <c r="A20" s="59" t="s">
        <v>182</v>
      </c>
      <c r="B20" s="59"/>
      <c r="C20" s="1"/>
      <c r="D20" s="1"/>
    </row>
    <row r="21" spans="1:4" ht="14.25" customHeight="1" x14ac:dyDescent="0.25">
      <c r="A21" s="59" t="s">
        <v>107</v>
      </c>
      <c r="B21" s="59"/>
      <c r="C21" s="1"/>
      <c r="D21" s="1"/>
    </row>
    <row r="22" spans="1:4" ht="14.25" customHeight="1" x14ac:dyDescent="0.25">
      <c r="A22" s="59" t="s">
        <v>91</v>
      </c>
      <c r="B22" s="59"/>
      <c r="C22" s="1"/>
      <c r="D22" s="1"/>
    </row>
    <row r="23" spans="1:4" ht="14.25" customHeight="1" x14ac:dyDescent="0.25">
      <c r="A23" s="23"/>
      <c r="B23" s="20"/>
      <c r="C23" s="1"/>
      <c r="D23" s="1"/>
    </row>
    <row r="24" spans="1:4" ht="14.25" customHeight="1" x14ac:dyDescent="0.25">
      <c r="A24" s="59" t="s">
        <v>49</v>
      </c>
      <c r="B24" s="59"/>
      <c r="C24" s="1"/>
      <c r="D24" s="1"/>
    </row>
    <row r="25" spans="1:4" ht="14.25" customHeight="1" x14ac:dyDescent="0.25">
      <c r="A25" s="59" t="s">
        <v>39</v>
      </c>
      <c r="B25" s="59"/>
      <c r="C25" s="1"/>
      <c r="D25" s="1"/>
    </row>
    <row r="26" spans="1:4" ht="14.25" customHeight="1" x14ac:dyDescent="0.25">
      <c r="A26" s="59" t="s">
        <v>121</v>
      </c>
      <c r="B26" s="59"/>
      <c r="C26" s="1"/>
      <c r="D26" s="1"/>
    </row>
    <row r="27" spans="1:4" ht="14.25" customHeight="1" x14ac:dyDescent="0.25">
      <c r="A27" s="59" t="s">
        <v>171</v>
      </c>
      <c r="B27" s="59"/>
      <c r="C27" s="1"/>
      <c r="D27" s="1"/>
    </row>
    <row r="28" spans="1:4" ht="14.25" customHeight="1" x14ac:dyDescent="0.25">
      <c r="A28" s="59" t="s">
        <v>270</v>
      </c>
      <c r="B28" s="59"/>
      <c r="C28" s="1"/>
      <c r="D28" s="1"/>
    </row>
    <row r="29" spans="1:4" ht="14.25" customHeight="1" x14ac:dyDescent="0.25">
      <c r="A29" s="23"/>
      <c r="B29" s="20"/>
      <c r="C29" s="1"/>
      <c r="D29" s="1"/>
    </row>
    <row r="30" spans="1:4" ht="14.25" customHeight="1" x14ac:dyDescent="0.25">
      <c r="A30" s="59" t="s">
        <v>42</v>
      </c>
      <c r="B30" s="59"/>
      <c r="C30" s="1"/>
      <c r="D30" s="1"/>
    </row>
    <row r="31" spans="1:4" ht="14.25" customHeight="1" x14ac:dyDescent="0.25">
      <c r="A31" s="59" t="s">
        <v>236</v>
      </c>
      <c r="B31" s="59"/>
      <c r="C31" s="1"/>
      <c r="D31" s="1"/>
    </row>
    <row r="32" spans="1:4" ht="14.25" customHeight="1" x14ac:dyDescent="0.25">
      <c r="A32" s="59" t="s">
        <v>87</v>
      </c>
      <c r="B32" s="59"/>
      <c r="C32" s="1"/>
      <c r="D32" s="1"/>
    </row>
    <row r="33" spans="1:4" ht="14.25" customHeight="1" x14ac:dyDescent="0.25">
      <c r="B33" s="20"/>
      <c r="C33" s="1"/>
      <c r="D33" s="1"/>
    </row>
    <row r="34" spans="1:4" ht="14.25" customHeight="1" x14ac:dyDescent="0.25">
      <c r="B34" s="20"/>
      <c r="C34" s="1"/>
      <c r="D34" s="1"/>
    </row>
    <row r="35" spans="1:4" ht="18.75" customHeight="1" x14ac:dyDescent="0.35">
      <c r="A35" s="24" t="s">
        <v>82</v>
      </c>
      <c r="B35" s="20"/>
      <c r="C35" s="1"/>
      <c r="D35" s="1"/>
    </row>
    <row r="36" spans="1:4" ht="14.25" customHeight="1" x14ac:dyDescent="0.3">
      <c r="A36" s="25" t="s">
        <v>17</v>
      </c>
      <c r="B36" s="20"/>
      <c r="C36" s="1"/>
      <c r="D36" s="1"/>
    </row>
    <row r="37" spans="1:4" ht="14.25" customHeight="1" x14ac:dyDescent="0.25">
      <c r="B37" s="20"/>
      <c r="C37" s="1"/>
      <c r="D37" s="1"/>
    </row>
    <row r="38" spans="1:4" ht="15.75" customHeight="1" x14ac:dyDescent="0.25">
      <c r="A38" s="26" t="s">
        <v>208</v>
      </c>
      <c r="B38" s="27" t="s">
        <v>256</v>
      </c>
      <c r="C38" s="26" t="s">
        <v>241</v>
      </c>
      <c r="D38" s="26" t="s">
        <v>37</v>
      </c>
    </row>
    <row r="39" spans="1:4" ht="14.25" customHeight="1" x14ac:dyDescent="0.3">
      <c r="A39" s="28" t="s">
        <v>74</v>
      </c>
      <c r="B39" s="20">
        <v>1</v>
      </c>
      <c r="C39" s="1" t="s">
        <v>2</v>
      </c>
      <c r="D39" s="29">
        <v>18</v>
      </c>
    </row>
    <row r="40" spans="1:4" ht="14.25" customHeight="1" x14ac:dyDescent="0.3">
      <c r="A40" s="28" t="s">
        <v>104</v>
      </c>
      <c r="B40" s="20">
        <v>2</v>
      </c>
      <c r="C40" s="1" t="s">
        <v>125</v>
      </c>
      <c r="D40" s="29">
        <v>19</v>
      </c>
    </row>
    <row r="41" spans="1:4" ht="14.25" customHeight="1" x14ac:dyDescent="0.3">
      <c r="A41" s="28" t="s">
        <v>233</v>
      </c>
      <c r="B41" s="20">
        <v>24</v>
      </c>
      <c r="C41" s="1" t="s">
        <v>160</v>
      </c>
      <c r="D41" s="29">
        <v>4.5</v>
      </c>
    </row>
    <row r="42" spans="1:4" ht="14.25" customHeight="1" x14ac:dyDescent="0.3">
      <c r="A42" s="28" t="s">
        <v>262</v>
      </c>
      <c r="B42" s="20">
        <v>34</v>
      </c>
      <c r="C42" s="1" t="s">
        <v>125</v>
      </c>
      <c r="D42" s="29">
        <v>14</v>
      </c>
    </row>
    <row r="43" spans="1:4" ht="14.25" customHeight="1" x14ac:dyDescent="0.3">
      <c r="A43" s="28" t="s">
        <v>258</v>
      </c>
      <c r="B43" s="20">
        <v>35</v>
      </c>
      <c r="C43" s="1" t="s">
        <v>125</v>
      </c>
      <c r="D43" s="29">
        <v>18</v>
      </c>
    </row>
    <row r="44" spans="1:4" ht="14.25" customHeight="1" x14ac:dyDescent="0.3">
      <c r="A44" s="28" t="s">
        <v>35</v>
      </c>
      <c r="B44" s="20">
        <v>38</v>
      </c>
      <c r="C44" s="1" t="s">
        <v>214</v>
      </c>
      <c r="D44" s="29">
        <v>263.5</v>
      </c>
    </row>
    <row r="45" spans="1:4" ht="14.25" customHeight="1" x14ac:dyDescent="0.3">
      <c r="A45" s="28" t="s">
        <v>76</v>
      </c>
      <c r="B45" s="20">
        <v>39</v>
      </c>
      <c r="C45" s="1" t="s">
        <v>28</v>
      </c>
      <c r="D45" s="29">
        <v>18</v>
      </c>
    </row>
    <row r="46" spans="1:4" ht="14.25" customHeight="1" x14ac:dyDescent="0.3">
      <c r="A46" s="28" t="s">
        <v>44</v>
      </c>
      <c r="B46" s="20">
        <v>43</v>
      </c>
      <c r="C46" s="1" t="s">
        <v>109</v>
      </c>
      <c r="D46" s="29">
        <v>46</v>
      </c>
    </row>
    <row r="47" spans="1:4" ht="14.25" customHeight="1" x14ac:dyDescent="0.3">
      <c r="A47" s="28" t="s">
        <v>100</v>
      </c>
      <c r="B47" s="20">
        <v>67</v>
      </c>
      <c r="C47" s="1" t="s">
        <v>125</v>
      </c>
      <c r="D47" s="29">
        <v>14</v>
      </c>
    </row>
    <row r="48" spans="1:4" ht="14.25" customHeight="1" x14ac:dyDescent="0.3">
      <c r="A48" s="28" t="s">
        <v>230</v>
      </c>
      <c r="B48" s="20">
        <v>70</v>
      </c>
      <c r="C48" s="1" t="s">
        <v>167</v>
      </c>
      <c r="D48" s="29">
        <v>15</v>
      </c>
    </row>
    <row r="49" spans="1:4" ht="14.25" customHeight="1" x14ac:dyDescent="0.3">
      <c r="A49" s="28" t="s">
        <v>211</v>
      </c>
      <c r="B49" s="20">
        <v>75</v>
      </c>
      <c r="C49" s="1" t="s">
        <v>120</v>
      </c>
      <c r="D49" s="29">
        <v>7.75</v>
      </c>
    </row>
    <row r="50" spans="1:4" ht="14.25" customHeight="1" x14ac:dyDescent="0.3">
      <c r="A50" s="28" t="s">
        <v>57</v>
      </c>
      <c r="B50" s="20">
        <v>76</v>
      </c>
      <c r="C50" s="1" t="s">
        <v>276</v>
      </c>
      <c r="D50" s="29">
        <v>18</v>
      </c>
    </row>
    <row r="51" spans="1:4" ht="14.25" customHeight="1" x14ac:dyDescent="0.25">
      <c r="B51" s="20"/>
      <c r="C51" s="1"/>
      <c r="D51" s="1"/>
    </row>
    <row r="52" spans="1:4" ht="18.75" customHeight="1" x14ac:dyDescent="0.35">
      <c r="A52" s="24" t="s">
        <v>172</v>
      </c>
      <c r="B52" s="20"/>
      <c r="C52" s="1"/>
      <c r="D52" s="1"/>
    </row>
    <row r="53" spans="1:4" ht="14.25" customHeight="1" x14ac:dyDescent="0.3">
      <c r="A53" s="25" t="s">
        <v>191</v>
      </c>
      <c r="B53" s="20"/>
      <c r="C53" s="1"/>
      <c r="D53" s="1"/>
    </row>
    <row r="54" spans="1:4" ht="14.25" customHeight="1" x14ac:dyDescent="0.25">
      <c r="B54" s="20"/>
      <c r="C54" s="1"/>
      <c r="D54" s="1"/>
    </row>
    <row r="55" spans="1:4" ht="15.75" customHeight="1" x14ac:dyDescent="0.25">
      <c r="A55" s="26" t="s">
        <v>208</v>
      </c>
      <c r="B55" s="27" t="s">
        <v>256</v>
      </c>
      <c r="C55" s="26" t="s">
        <v>241</v>
      </c>
      <c r="D55" s="26" t="s">
        <v>37</v>
      </c>
    </row>
    <row r="56" spans="1:4" ht="14.25" customHeight="1" x14ac:dyDescent="0.3">
      <c r="A56" s="28" t="s">
        <v>138</v>
      </c>
      <c r="B56" s="20">
        <v>3</v>
      </c>
      <c r="C56" s="1" t="s">
        <v>234</v>
      </c>
      <c r="D56" s="29">
        <v>10</v>
      </c>
    </row>
    <row r="57" spans="1:4" ht="14.25" customHeight="1" x14ac:dyDescent="0.3">
      <c r="A57" s="28" t="s">
        <v>64</v>
      </c>
      <c r="B57" s="20">
        <v>4</v>
      </c>
      <c r="C57" s="1" t="s">
        <v>272</v>
      </c>
      <c r="D57" s="29">
        <v>22</v>
      </c>
    </row>
    <row r="58" spans="1:4" ht="14.25" customHeight="1" x14ac:dyDescent="0.3">
      <c r="A58" s="28" t="s">
        <v>285</v>
      </c>
      <c r="B58" s="20">
        <v>5</v>
      </c>
      <c r="C58" s="1" t="s">
        <v>25</v>
      </c>
      <c r="D58" s="29">
        <v>21.35</v>
      </c>
    </row>
    <row r="59" spans="1:4" ht="14.25" customHeight="1" x14ac:dyDescent="0.3">
      <c r="A59" s="28" t="s">
        <v>246</v>
      </c>
      <c r="B59" s="20">
        <v>6</v>
      </c>
      <c r="C59" s="1" t="s">
        <v>124</v>
      </c>
      <c r="D59" s="29">
        <v>25</v>
      </c>
    </row>
    <row r="60" spans="1:4" ht="14.25" customHeight="1" x14ac:dyDescent="0.3">
      <c r="A60" s="28" t="s">
        <v>287</v>
      </c>
      <c r="B60" s="20">
        <v>8</v>
      </c>
      <c r="C60" s="1" t="s">
        <v>108</v>
      </c>
      <c r="D60" s="29">
        <v>40</v>
      </c>
    </row>
    <row r="61" spans="1:4" ht="14.25" customHeight="1" x14ac:dyDescent="0.3">
      <c r="A61" s="28" t="s">
        <v>209</v>
      </c>
      <c r="B61" s="20">
        <v>15</v>
      </c>
      <c r="C61" s="1" t="s">
        <v>116</v>
      </c>
      <c r="D61" s="29">
        <v>15.5</v>
      </c>
    </row>
    <row r="62" spans="1:4" ht="14.25" customHeight="1" x14ac:dyDescent="0.3">
      <c r="A62" s="28" t="s">
        <v>267</v>
      </c>
      <c r="B62" s="20">
        <v>44</v>
      </c>
      <c r="C62" s="1" t="s">
        <v>38</v>
      </c>
      <c r="D62" s="29">
        <v>19.45</v>
      </c>
    </row>
    <row r="63" spans="1:4" ht="14.25" customHeight="1" x14ac:dyDescent="0.3">
      <c r="A63" s="28" t="s">
        <v>71</v>
      </c>
      <c r="B63" s="20">
        <v>61</v>
      </c>
      <c r="C63" s="1" t="s">
        <v>249</v>
      </c>
      <c r="D63" s="29">
        <v>28.5</v>
      </c>
    </row>
    <row r="64" spans="1:4" ht="14.25" customHeight="1" x14ac:dyDescent="0.3">
      <c r="A64" s="28" t="s">
        <v>131</v>
      </c>
      <c r="B64" s="20">
        <v>63</v>
      </c>
      <c r="C64" s="1" t="s">
        <v>84</v>
      </c>
      <c r="D64" s="29">
        <v>43.9</v>
      </c>
    </row>
    <row r="65" spans="1:4" ht="14.25" customHeight="1" x14ac:dyDescent="0.3">
      <c r="A65" s="28" t="s">
        <v>229</v>
      </c>
      <c r="B65" s="20">
        <v>65</v>
      </c>
      <c r="C65" s="1" t="s">
        <v>50</v>
      </c>
      <c r="D65" s="29">
        <v>21.05</v>
      </c>
    </row>
    <row r="66" spans="1:4" ht="14.25" customHeight="1" x14ac:dyDescent="0.3">
      <c r="A66" s="28" t="s">
        <v>134</v>
      </c>
      <c r="B66" s="20">
        <v>66</v>
      </c>
      <c r="C66" s="1" t="s">
        <v>194</v>
      </c>
      <c r="D66" s="29">
        <v>17</v>
      </c>
    </row>
    <row r="67" spans="1:4" ht="14.25" customHeight="1" x14ac:dyDescent="0.3">
      <c r="A67" s="28" t="s">
        <v>282</v>
      </c>
      <c r="B67" s="20">
        <v>77</v>
      </c>
      <c r="C67" s="1" t="s">
        <v>23</v>
      </c>
      <c r="D67" s="29">
        <v>13</v>
      </c>
    </row>
    <row r="68" spans="1:4" ht="14.25" customHeight="1" x14ac:dyDescent="0.25">
      <c r="B68" s="20"/>
      <c r="C68" s="1"/>
      <c r="D68" s="1"/>
    </row>
    <row r="69" spans="1:4" ht="18.75" customHeight="1" x14ac:dyDescent="0.35">
      <c r="A69" s="24" t="s">
        <v>83</v>
      </c>
      <c r="B69" s="20"/>
      <c r="C69" s="1"/>
      <c r="D69" s="1"/>
    </row>
    <row r="70" spans="1:4" ht="14.25" customHeight="1" x14ac:dyDescent="0.3">
      <c r="A70" s="25" t="s">
        <v>245</v>
      </c>
      <c r="B70" s="20"/>
      <c r="C70" s="1"/>
      <c r="D70" s="1"/>
    </row>
    <row r="71" spans="1:4" ht="14.25" customHeight="1" x14ac:dyDescent="0.25">
      <c r="B71" s="20"/>
      <c r="C71" s="1"/>
      <c r="D71" s="1"/>
    </row>
    <row r="72" spans="1:4" ht="15.75" customHeight="1" x14ac:dyDescent="0.25">
      <c r="A72" s="26" t="s">
        <v>208</v>
      </c>
      <c r="B72" s="27" t="s">
        <v>256</v>
      </c>
      <c r="C72" s="26" t="s">
        <v>241</v>
      </c>
      <c r="D72" s="26" t="s">
        <v>37</v>
      </c>
    </row>
    <row r="73" spans="1:4" ht="14.25" customHeight="1" x14ac:dyDescent="0.3">
      <c r="A73" s="28" t="s">
        <v>237</v>
      </c>
      <c r="B73" s="20">
        <v>16</v>
      </c>
      <c r="C73" s="1" t="s">
        <v>149</v>
      </c>
      <c r="D73" s="29">
        <v>17.45</v>
      </c>
    </row>
    <row r="74" spans="1:4" ht="14.25" customHeight="1" x14ac:dyDescent="0.3">
      <c r="A74" s="28" t="s">
        <v>221</v>
      </c>
      <c r="B74" s="20">
        <v>19</v>
      </c>
      <c r="C74" s="1" t="s">
        <v>90</v>
      </c>
      <c r="D74" s="29">
        <v>9.1999999999999993</v>
      </c>
    </row>
    <row r="75" spans="1:4" ht="14.25" customHeight="1" x14ac:dyDescent="0.3">
      <c r="A75" s="28" t="s">
        <v>283</v>
      </c>
      <c r="B75" s="20">
        <v>20</v>
      </c>
      <c r="C75" s="1" t="s">
        <v>62</v>
      </c>
      <c r="D75" s="29">
        <v>81</v>
      </c>
    </row>
    <row r="76" spans="1:4" ht="14.25" customHeight="1" x14ac:dyDescent="0.3">
      <c r="A76" s="28" t="s">
        <v>215</v>
      </c>
      <c r="B76" s="20">
        <v>21</v>
      </c>
      <c r="C76" s="1" t="s">
        <v>88</v>
      </c>
      <c r="D76" s="29">
        <v>10</v>
      </c>
    </row>
    <row r="77" spans="1:4" ht="14.25" customHeight="1" x14ac:dyDescent="0.3">
      <c r="A77" s="28" t="s">
        <v>184</v>
      </c>
      <c r="B77" s="20">
        <v>25</v>
      </c>
      <c r="C77" s="1" t="s">
        <v>144</v>
      </c>
      <c r="D77" s="29">
        <v>14</v>
      </c>
    </row>
    <row r="78" spans="1:4" ht="14.25" customHeight="1" x14ac:dyDescent="0.3">
      <c r="A78" s="28" t="s">
        <v>213</v>
      </c>
      <c r="B78" s="20">
        <v>26</v>
      </c>
      <c r="C78" s="1" t="s">
        <v>46</v>
      </c>
      <c r="D78" s="29">
        <v>31.23</v>
      </c>
    </row>
    <row r="79" spans="1:4" ht="14.25" customHeight="1" x14ac:dyDescent="0.3">
      <c r="A79" s="28" t="s">
        <v>255</v>
      </c>
      <c r="B79" s="20">
        <v>27</v>
      </c>
      <c r="C79" s="1" t="s">
        <v>98</v>
      </c>
      <c r="D79" s="29">
        <v>43.9</v>
      </c>
    </row>
    <row r="80" spans="1:4" ht="14.25" customHeight="1" x14ac:dyDescent="0.3">
      <c r="A80" s="28" t="s">
        <v>136</v>
      </c>
      <c r="B80" s="20">
        <v>47</v>
      </c>
      <c r="C80" s="1" t="s">
        <v>178</v>
      </c>
      <c r="D80" s="29">
        <v>9.5</v>
      </c>
    </row>
    <row r="81" spans="1:4" ht="14.25" customHeight="1" x14ac:dyDescent="0.3">
      <c r="A81" s="28" t="s">
        <v>284</v>
      </c>
      <c r="B81" s="20">
        <v>48</v>
      </c>
      <c r="C81" s="1" t="s">
        <v>163</v>
      </c>
      <c r="D81" s="29">
        <v>12.75</v>
      </c>
    </row>
    <row r="82" spans="1:4" ht="14.25" customHeight="1" x14ac:dyDescent="0.3">
      <c r="A82" s="28" t="s">
        <v>198</v>
      </c>
      <c r="B82" s="20">
        <v>49</v>
      </c>
      <c r="C82" s="1" t="s">
        <v>89</v>
      </c>
      <c r="D82" s="29">
        <v>20</v>
      </c>
    </row>
    <row r="83" spans="1:4" ht="14.25" customHeight="1" x14ac:dyDescent="0.3">
      <c r="A83" s="28" t="s">
        <v>8</v>
      </c>
      <c r="B83" s="20">
        <v>50</v>
      </c>
      <c r="C83" s="1" t="s">
        <v>220</v>
      </c>
      <c r="D83" s="29">
        <v>16.25</v>
      </c>
    </row>
    <row r="84" spans="1:4" ht="14.25" customHeight="1" x14ac:dyDescent="0.3">
      <c r="A84" s="28" t="s">
        <v>53</v>
      </c>
      <c r="B84" s="20">
        <v>62</v>
      </c>
      <c r="C84" s="1" t="s">
        <v>33</v>
      </c>
      <c r="D84" s="29">
        <v>49.3</v>
      </c>
    </row>
    <row r="85" spans="1:4" ht="14.25" customHeight="1" x14ac:dyDescent="0.3">
      <c r="A85" s="28" t="s">
        <v>156</v>
      </c>
      <c r="B85" s="20">
        <v>68</v>
      </c>
      <c r="C85" s="1" t="s">
        <v>132</v>
      </c>
      <c r="D85" s="29">
        <v>12.5</v>
      </c>
    </row>
    <row r="86" spans="1:4" ht="14.25" customHeight="1" x14ac:dyDescent="0.25">
      <c r="B86" s="20"/>
      <c r="C86" s="1"/>
      <c r="D86" s="1"/>
    </row>
    <row r="87" spans="1:4" ht="18.75" customHeight="1" x14ac:dyDescent="0.35">
      <c r="A87" s="24" t="s">
        <v>143</v>
      </c>
      <c r="B87" s="20"/>
      <c r="C87" s="1"/>
      <c r="D87" s="1"/>
    </row>
    <row r="88" spans="1:4" ht="14.25" customHeight="1" x14ac:dyDescent="0.3">
      <c r="A88" s="25" t="s">
        <v>30</v>
      </c>
      <c r="B88" s="20"/>
      <c r="C88" s="1"/>
      <c r="D88" s="1"/>
    </row>
    <row r="89" spans="1:4" ht="14.25" customHeight="1" x14ac:dyDescent="0.25">
      <c r="B89" s="20"/>
      <c r="C89" s="1"/>
      <c r="D89" s="1"/>
    </row>
    <row r="90" spans="1:4" ht="15.75" customHeight="1" x14ac:dyDescent="0.25">
      <c r="A90" s="26" t="s">
        <v>208</v>
      </c>
      <c r="B90" s="27" t="s">
        <v>256</v>
      </c>
      <c r="C90" s="26" t="s">
        <v>241</v>
      </c>
      <c r="D90" s="26" t="s">
        <v>37</v>
      </c>
    </row>
    <row r="91" spans="1:4" ht="14.25" customHeight="1" x14ac:dyDescent="0.3">
      <c r="A91" s="28" t="s">
        <v>55</v>
      </c>
      <c r="B91" s="20">
        <v>11</v>
      </c>
      <c r="C91" s="1" t="s">
        <v>263</v>
      </c>
      <c r="D91" s="29">
        <v>21</v>
      </c>
    </row>
    <row r="92" spans="1:4" ht="14.25" customHeight="1" x14ac:dyDescent="0.3">
      <c r="A92" s="28" t="s">
        <v>22</v>
      </c>
      <c r="B92" s="20">
        <v>12</v>
      </c>
      <c r="C92" s="1" t="s">
        <v>195</v>
      </c>
      <c r="D92" s="29">
        <v>38</v>
      </c>
    </row>
    <row r="93" spans="1:4" ht="14.25" customHeight="1" x14ac:dyDescent="0.3">
      <c r="A93" s="28" t="s">
        <v>235</v>
      </c>
      <c r="B93" s="20">
        <v>31</v>
      </c>
      <c r="C93" s="1" t="s">
        <v>31</v>
      </c>
      <c r="D93" s="29">
        <v>12.5</v>
      </c>
    </row>
    <row r="94" spans="1:4" ht="14.25" customHeight="1" x14ac:dyDescent="0.3">
      <c r="A94" s="28" t="s">
        <v>223</v>
      </c>
      <c r="B94" s="20">
        <v>32</v>
      </c>
      <c r="C94" s="1" t="s">
        <v>96</v>
      </c>
      <c r="D94" s="29">
        <v>32</v>
      </c>
    </row>
    <row r="95" spans="1:4" ht="14.25" customHeight="1" x14ac:dyDescent="0.3">
      <c r="A95" s="28" t="s">
        <v>153</v>
      </c>
      <c r="B95" s="20">
        <v>33</v>
      </c>
      <c r="C95" s="1" t="s">
        <v>56</v>
      </c>
      <c r="D95" s="29">
        <v>2.5</v>
      </c>
    </row>
    <row r="96" spans="1:4" ht="14.25" customHeight="1" x14ac:dyDescent="0.3">
      <c r="A96" s="28" t="s">
        <v>218</v>
      </c>
      <c r="B96" s="20">
        <v>59</v>
      </c>
      <c r="C96" s="1" t="s">
        <v>77</v>
      </c>
      <c r="D96" s="29">
        <v>55</v>
      </c>
    </row>
    <row r="97" spans="1:4" ht="14.25" customHeight="1" x14ac:dyDescent="0.3">
      <c r="A97" s="28" t="s">
        <v>45</v>
      </c>
      <c r="B97" s="20">
        <v>60</v>
      </c>
      <c r="C97" s="1" t="s">
        <v>3</v>
      </c>
      <c r="D97" s="29">
        <v>34</v>
      </c>
    </row>
    <row r="98" spans="1:4" ht="14.25" customHeight="1" x14ac:dyDescent="0.3">
      <c r="A98" s="28" t="s">
        <v>277</v>
      </c>
      <c r="B98" s="20">
        <v>69</v>
      </c>
      <c r="C98" s="1" t="s">
        <v>86</v>
      </c>
      <c r="D98" s="29">
        <v>36</v>
      </c>
    </row>
    <row r="99" spans="1:4" ht="14.25" customHeight="1" x14ac:dyDescent="0.3">
      <c r="A99" s="28" t="s">
        <v>280</v>
      </c>
      <c r="B99" s="20">
        <v>71</v>
      </c>
      <c r="C99" s="1" t="s">
        <v>195</v>
      </c>
      <c r="D99" s="29">
        <v>21.5</v>
      </c>
    </row>
    <row r="100" spans="1:4" ht="14.25" customHeight="1" x14ac:dyDescent="0.3">
      <c r="A100" s="28" t="s">
        <v>1</v>
      </c>
      <c r="B100" s="20">
        <v>72</v>
      </c>
      <c r="C100" s="1" t="s">
        <v>96</v>
      </c>
      <c r="D100" s="29">
        <v>34.799999999999997</v>
      </c>
    </row>
    <row r="101" spans="1:4" ht="14.25" customHeight="1" x14ac:dyDescent="0.25">
      <c r="B101" s="20"/>
      <c r="C101" s="1"/>
      <c r="D101" s="1"/>
    </row>
    <row r="102" spans="1:4" ht="18.75" customHeight="1" x14ac:dyDescent="0.35">
      <c r="A102" s="24" t="s">
        <v>159</v>
      </c>
      <c r="B102" s="20"/>
      <c r="C102" s="1"/>
      <c r="D102" s="1"/>
    </row>
    <row r="103" spans="1:4" ht="14.25" customHeight="1" x14ac:dyDescent="0.3">
      <c r="A103" s="25" t="s">
        <v>72</v>
      </c>
      <c r="B103" s="20"/>
      <c r="C103" s="1"/>
      <c r="D103" s="1"/>
    </row>
    <row r="104" spans="1:4" ht="14.25" customHeight="1" x14ac:dyDescent="0.25">
      <c r="B104" s="20"/>
      <c r="C104" s="1"/>
      <c r="D104" s="1"/>
    </row>
    <row r="105" spans="1:4" ht="15.75" customHeight="1" x14ac:dyDescent="0.25">
      <c r="A105" s="26" t="s">
        <v>208</v>
      </c>
      <c r="B105" s="27" t="s">
        <v>256</v>
      </c>
      <c r="C105" s="26" t="s">
        <v>241</v>
      </c>
      <c r="D105" s="26" t="s">
        <v>37</v>
      </c>
    </row>
    <row r="106" spans="1:4" ht="14.25" customHeight="1" x14ac:dyDescent="0.3">
      <c r="A106" s="28" t="s">
        <v>85</v>
      </c>
      <c r="B106" s="20">
        <v>22</v>
      </c>
      <c r="C106" s="1" t="s">
        <v>65</v>
      </c>
      <c r="D106" s="29">
        <v>21</v>
      </c>
    </row>
    <row r="107" spans="1:4" ht="14.25" customHeight="1" x14ac:dyDescent="0.3">
      <c r="A107" s="28" t="s">
        <v>252</v>
      </c>
      <c r="B107" s="20">
        <v>23</v>
      </c>
      <c r="C107" s="1" t="s">
        <v>24</v>
      </c>
      <c r="D107" s="29">
        <v>9</v>
      </c>
    </row>
    <row r="108" spans="1:4" ht="14.25" customHeight="1" x14ac:dyDescent="0.3">
      <c r="A108" s="28" t="s">
        <v>155</v>
      </c>
      <c r="B108" s="20">
        <v>42</v>
      </c>
      <c r="C108" s="1" t="s">
        <v>4</v>
      </c>
      <c r="D108" s="29">
        <v>14</v>
      </c>
    </row>
    <row r="109" spans="1:4" ht="14.25" customHeight="1" x14ac:dyDescent="0.3">
      <c r="A109" s="28" t="s">
        <v>6</v>
      </c>
      <c r="B109" s="20">
        <v>52</v>
      </c>
      <c r="C109" s="1" t="s">
        <v>225</v>
      </c>
      <c r="D109" s="29">
        <v>7</v>
      </c>
    </row>
    <row r="110" spans="1:4" ht="14.25" customHeight="1" x14ac:dyDescent="0.3">
      <c r="A110" s="28" t="s">
        <v>274</v>
      </c>
      <c r="B110" s="20">
        <v>56</v>
      </c>
      <c r="C110" s="1" t="s">
        <v>210</v>
      </c>
      <c r="D110" s="29">
        <v>38</v>
      </c>
    </row>
    <row r="111" spans="1:4" ht="14.25" customHeight="1" x14ac:dyDescent="0.3">
      <c r="A111" s="28" t="s">
        <v>111</v>
      </c>
      <c r="B111" s="20">
        <v>57</v>
      </c>
      <c r="C111" s="1" t="s">
        <v>210</v>
      </c>
      <c r="D111" s="29">
        <v>19.5</v>
      </c>
    </row>
    <row r="112" spans="1:4" ht="14.25" customHeight="1" x14ac:dyDescent="0.3">
      <c r="A112" s="28" t="s">
        <v>197</v>
      </c>
      <c r="B112" s="20">
        <v>64</v>
      </c>
      <c r="C112" s="1" t="s">
        <v>93</v>
      </c>
      <c r="D112" s="29">
        <v>33.25</v>
      </c>
    </row>
    <row r="113" spans="1:4" ht="14.25" customHeight="1" x14ac:dyDescent="0.25">
      <c r="B113" s="20"/>
      <c r="C113" s="1"/>
      <c r="D113" s="1"/>
    </row>
    <row r="114" spans="1:4" ht="18.75" customHeight="1" x14ac:dyDescent="0.35">
      <c r="A114" s="24" t="s">
        <v>250</v>
      </c>
      <c r="B114" s="20"/>
      <c r="C114" s="1"/>
      <c r="D114" s="1"/>
    </row>
    <row r="115" spans="1:4" ht="14.25" customHeight="1" x14ac:dyDescent="0.3">
      <c r="A115" s="25" t="s">
        <v>133</v>
      </c>
      <c r="B115" s="20"/>
      <c r="C115" s="1"/>
      <c r="D115" s="1"/>
    </row>
    <row r="116" spans="1:4" ht="14.25" customHeight="1" x14ac:dyDescent="0.25">
      <c r="B116" s="20"/>
      <c r="C116" s="1"/>
      <c r="D116" s="1"/>
    </row>
    <row r="117" spans="1:4" ht="15.75" customHeight="1" x14ac:dyDescent="0.25">
      <c r="A117" s="26" t="s">
        <v>208</v>
      </c>
      <c r="B117" s="27" t="s">
        <v>256</v>
      </c>
      <c r="C117" s="26" t="s">
        <v>241</v>
      </c>
      <c r="D117" s="26" t="s">
        <v>37</v>
      </c>
    </row>
    <row r="118" spans="1:4" ht="14.25" customHeight="1" x14ac:dyDescent="0.3">
      <c r="A118" s="28" t="s">
        <v>206</v>
      </c>
      <c r="B118" s="20">
        <v>9</v>
      </c>
      <c r="C118" s="1" t="s">
        <v>11</v>
      </c>
      <c r="D118" s="29">
        <v>97</v>
      </c>
    </row>
    <row r="119" spans="1:4" ht="14.25" customHeight="1" x14ac:dyDescent="0.3">
      <c r="A119" s="28" t="s">
        <v>36</v>
      </c>
      <c r="B119" s="20">
        <v>17</v>
      </c>
      <c r="C119" s="1" t="s">
        <v>21</v>
      </c>
      <c r="D119" s="29">
        <v>39</v>
      </c>
    </row>
    <row r="120" spans="1:4" ht="14.25" customHeight="1" x14ac:dyDescent="0.3">
      <c r="A120" s="28" t="s">
        <v>217</v>
      </c>
      <c r="B120" s="20">
        <v>29</v>
      </c>
      <c r="C120" s="1" t="s">
        <v>157</v>
      </c>
      <c r="D120" s="29">
        <v>123.79</v>
      </c>
    </row>
    <row r="121" spans="1:4" ht="14.25" customHeight="1" x14ac:dyDescent="0.3">
      <c r="A121" s="28" t="s">
        <v>110</v>
      </c>
      <c r="B121" s="20">
        <v>53</v>
      </c>
      <c r="C121" s="1" t="s">
        <v>123</v>
      </c>
      <c r="D121" s="29">
        <v>32.799999999999997</v>
      </c>
    </row>
    <row r="122" spans="1:4" ht="14.25" customHeight="1" x14ac:dyDescent="0.3">
      <c r="A122" s="28" t="s">
        <v>286</v>
      </c>
      <c r="B122" s="20">
        <v>54</v>
      </c>
      <c r="C122" s="1" t="s">
        <v>264</v>
      </c>
      <c r="D122" s="29">
        <v>7.45</v>
      </c>
    </row>
    <row r="123" spans="1:4" ht="14.25" customHeight="1" x14ac:dyDescent="0.3">
      <c r="A123" s="28" t="s">
        <v>78</v>
      </c>
      <c r="B123" s="20">
        <v>55</v>
      </c>
      <c r="C123" s="1" t="s">
        <v>189</v>
      </c>
      <c r="D123" s="29">
        <v>24</v>
      </c>
    </row>
    <row r="124" spans="1:4" ht="14.25" customHeight="1" x14ac:dyDescent="0.25">
      <c r="B124" s="20"/>
      <c r="C124" s="1"/>
      <c r="D124" s="1"/>
    </row>
    <row r="125" spans="1:4" ht="18.75" customHeight="1" x14ac:dyDescent="0.35">
      <c r="A125" s="24" t="s">
        <v>47</v>
      </c>
      <c r="B125" s="20"/>
      <c r="C125" s="1"/>
      <c r="D125" s="1"/>
    </row>
    <row r="126" spans="1:4" ht="14.25" customHeight="1" x14ac:dyDescent="0.3">
      <c r="A126" s="25" t="s">
        <v>128</v>
      </c>
      <c r="B126" s="20"/>
      <c r="C126" s="1"/>
      <c r="D126" s="1"/>
    </row>
    <row r="127" spans="1:4" ht="14.25" customHeight="1" x14ac:dyDescent="0.25">
      <c r="B127" s="20"/>
      <c r="C127" s="1"/>
      <c r="D127" s="1"/>
    </row>
    <row r="128" spans="1:4" ht="15.75" customHeight="1" x14ac:dyDescent="0.25">
      <c r="A128" s="26" t="s">
        <v>208</v>
      </c>
      <c r="B128" s="27" t="s">
        <v>256</v>
      </c>
      <c r="C128" s="26" t="s">
        <v>241</v>
      </c>
      <c r="D128" s="26" t="s">
        <v>37</v>
      </c>
    </row>
    <row r="129" spans="1:4" ht="14.25" customHeight="1" x14ac:dyDescent="0.3">
      <c r="A129" s="28" t="s">
        <v>268</v>
      </c>
      <c r="B129" s="20">
        <v>7</v>
      </c>
      <c r="C129" s="1" t="s">
        <v>181</v>
      </c>
      <c r="D129" s="29">
        <v>30</v>
      </c>
    </row>
    <row r="130" spans="1:4" ht="14.25" customHeight="1" x14ac:dyDescent="0.3">
      <c r="A130" s="28" t="s">
        <v>43</v>
      </c>
      <c r="B130" s="20">
        <v>14</v>
      </c>
      <c r="C130" s="1" t="s">
        <v>152</v>
      </c>
      <c r="D130" s="29">
        <v>23.25</v>
      </c>
    </row>
    <row r="131" spans="1:4" ht="14.25" customHeight="1" x14ac:dyDescent="0.3">
      <c r="A131" s="28" t="s">
        <v>201</v>
      </c>
      <c r="B131" s="20">
        <v>28</v>
      </c>
      <c r="C131" s="1" t="s">
        <v>196</v>
      </c>
      <c r="D131" s="29">
        <v>45.6</v>
      </c>
    </row>
    <row r="132" spans="1:4" ht="14.25" customHeight="1" x14ac:dyDescent="0.3">
      <c r="A132" s="28" t="s">
        <v>251</v>
      </c>
      <c r="B132" s="20">
        <v>51</v>
      </c>
      <c r="C132" s="1" t="s">
        <v>118</v>
      </c>
      <c r="D132" s="29">
        <v>53</v>
      </c>
    </row>
    <row r="133" spans="1:4" ht="14.25" customHeight="1" x14ac:dyDescent="0.3">
      <c r="A133" s="28" t="s">
        <v>154</v>
      </c>
      <c r="B133" s="20">
        <v>74</v>
      </c>
      <c r="C133" s="1" t="s">
        <v>77</v>
      </c>
      <c r="D133" s="29">
        <v>10</v>
      </c>
    </row>
    <row r="134" spans="1:4" ht="14.25" customHeight="1" x14ac:dyDescent="0.25">
      <c r="B134" s="20"/>
      <c r="C134" s="1"/>
      <c r="D134" s="1"/>
    </row>
    <row r="135" spans="1:4" ht="18.75" customHeight="1" x14ac:dyDescent="0.35">
      <c r="A135" s="24" t="s">
        <v>5</v>
      </c>
      <c r="B135" s="20"/>
      <c r="C135" s="1"/>
      <c r="D135" s="1"/>
    </row>
    <row r="136" spans="1:4" ht="14.25" customHeight="1" x14ac:dyDescent="0.3">
      <c r="A136" s="25" t="s">
        <v>51</v>
      </c>
      <c r="B136" s="20"/>
      <c r="C136" s="1"/>
      <c r="D136" s="1"/>
    </row>
    <row r="137" spans="1:4" ht="14.25" customHeight="1" x14ac:dyDescent="0.25">
      <c r="B137" s="20"/>
      <c r="C137" s="1"/>
      <c r="D137" s="1"/>
    </row>
    <row r="138" spans="1:4" ht="15.75" customHeight="1" x14ac:dyDescent="0.25">
      <c r="A138" s="26" t="s">
        <v>208</v>
      </c>
      <c r="B138" s="27" t="s">
        <v>256</v>
      </c>
      <c r="C138" s="26" t="s">
        <v>241</v>
      </c>
      <c r="D138" s="26" t="s">
        <v>37</v>
      </c>
    </row>
    <row r="139" spans="1:4" ht="14.25" customHeight="1" x14ac:dyDescent="0.3">
      <c r="A139" s="28" t="s">
        <v>224</v>
      </c>
      <c r="B139" s="20">
        <v>10</v>
      </c>
      <c r="C139" s="1" t="s">
        <v>190</v>
      </c>
      <c r="D139" s="29">
        <v>31</v>
      </c>
    </row>
    <row r="140" spans="1:4" ht="14.25" customHeight="1" x14ac:dyDescent="0.3">
      <c r="A140" s="28" t="s">
        <v>239</v>
      </c>
      <c r="B140" s="20">
        <v>13</v>
      </c>
      <c r="C140" s="1" t="s">
        <v>114</v>
      </c>
      <c r="D140" s="29">
        <v>6</v>
      </c>
    </row>
    <row r="141" spans="1:4" ht="14.25" customHeight="1" x14ac:dyDescent="0.3">
      <c r="A141" s="28" t="s">
        <v>52</v>
      </c>
      <c r="B141" s="20">
        <v>18</v>
      </c>
      <c r="C141" s="1" t="s">
        <v>95</v>
      </c>
      <c r="D141" s="29">
        <v>62.5</v>
      </c>
    </row>
    <row r="142" spans="1:4" ht="14.25" customHeight="1" x14ac:dyDescent="0.3">
      <c r="A142" s="28" t="s">
        <v>117</v>
      </c>
      <c r="B142" s="20">
        <v>30</v>
      </c>
      <c r="C142" s="1" t="s">
        <v>165</v>
      </c>
      <c r="D142" s="29">
        <v>25.89</v>
      </c>
    </row>
    <row r="143" spans="1:4" ht="14.25" customHeight="1" x14ac:dyDescent="0.3">
      <c r="A143" s="28" t="s">
        <v>73</v>
      </c>
      <c r="B143" s="20">
        <v>36</v>
      </c>
      <c r="C143" s="1" t="s">
        <v>27</v>
      </c>
      <c r="D143" s="29">
        <v>19</v>
      </c>
    </row>
    <row r="144" spans="1:4" ht="14.25" customHeight="1" x14ac:dyDescent="0.3">
      <c r="A144" s="28" t="s">
        <v>188</v>
      </c>
      <c r="B144" s="20">
        <v>37</v>
      </c>
      <c r="C144" s="1" t="s">
        <v>269</v>
      </c>
      <c r="D144" s="29">
        <v>26</v>
      </c>
    </row>
    <row r="145" spans="1:4" ht="14.25" customHeight="1" x14ac:dyDescent="0.3">
      <c r="A145" s="28" t="s">
        <v>216</v>
      </c>
      <c r="B145" s="20">
        <v>40</v>
      </c>
      <c r="C145" s="1" t="s">
        <v>254</v>
      </c>
      <c r="D145" s="29">
        <v>18.399999999999999</v>
      </c>
    </row>
    <row r="146" spans="1:4" ht="14.25" customHeight="1" x14ac:dyDescent="0.3">
      <c r="A146" s="28" t="s">
        <v>60</v>
      </c>
      <c r="B146" s="20">
        <v>41</v>
      </c>
      <c r="C146" s="1" t="s">
        <v>146</v>
      </c>
      <c r="D146" s="29">
        <v>9.65</v>
      </c>
    </row>
    <row r="147" spans="1:4" ht="14.25" customHeight="1" x14ac:dyDescent="0.3">
      <c r="A147" s="28" t="s">
        <v>141</v>
      </c>
      <c r="B147" s="20">
        <v>45</v>
      </c>
      <c r="C147" s="1" t="s">
        <v>15</v>
      </c>
      <c r="D147" s="29">
        <v>9.5</v>
      </c>
    </row>
    <row r="148" spans="1:4" ht="14.25" customHeight="1" x14ac:dyDescent="0.3">
      <c r="A148" s="28" t="s">
        <v>67</v>
      </c>
      <c r="B148" s="20">
        <v>46</v>
      </c>
      <c r="C148" s="1" t="s">
        <v>271</v>
      </c>
      <c r="D148" s="29">
        <v>12</v>
      </c>
    </row>
    <row r="149" spans="1:4" ht="14.25" customHeight="1" x14ac:dyDescent="0.3">
      <c r="A149" s="28" t="s">
        <v>94</v>
      </c>
      <c r="B149" s="20">
        <v>58</v>
      </c>
      <c r="C149" s="1" t="s">
        <v>227</v>
      </c>
      <c r="D149" s="29">
        <v>13.25</v>
      </c>
    </row>
    <row r="150" spans="1:4" ht="14.25" customHeight="1" x14ac:dyDescent="0.3">
      <c r="A150" s="28" t="s">
        <v>168</v>
      </c>
      <c r="B150" s="20">
        <v>73</v>
      </c>
      <c r="C150" s="1" t="s">
        <v>281</v>
      </c>
      <c r="D150" s="29">
        <v>15</v>
      </c>
    </row>
  </sheetData>
  <mergeCells count="24">
    <mergeCell ref="A30:B30"/>
    <mergeCell ref="A31:B31"/>
    <mergeCell ref="A32:B32"/>
    <mergeCell ref="A1:C1"/>
    <mergeCell ref="A18:B18"/>
    <mergeCell ref="A20:B20"/>
    <mergeCell ref="A21:B21"/>
    <mergeCell ref="A28:B28"/>
    <mergeCell ref="A27:B27"/>
    <mergeCell ref="A12:B12"/>
    <mergeCell ref="A24:B24"/>
    <mergeCell ref="A25:B25"/>
    <mergeCell ref="A26:B26"/>
    <mergeCell ref="A17:B17"/>
    <mergeCell ref="A13:B13"/>
    <mergeCell ref="A14:B14"/>
    <mergeCell ref="A15:B15"/>
    <mergeCell ref="A22:B22"/>
    <mergeCell ref="A10:C10"/>
    <mergeCell ref="A3:C3"/>
    <mergeCell ref="A4:C4"/>
    <mergeCell ref="A5:C5"/>
    <mergeCell ref="A6:C6"/>
    <mergeCell ref="A7:C7"/>
  </mergeCells>
  <phoneticPr fontId="19" type="noConversion"/>
  <pageMargins left="0.75" right="0.75" top="1" bottom="1" header="0.5" footer="0.5"/>
  <pageSetup paperSize="9" orientation="portrait" horizontalDpi="0" verticalDpi="0" copies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68191-37BE-4B6C-A5A8-BF515317A561}">
  <dimension ref="A1:E151"/>
  <sheetViews>
    <sheetView workbookViewId="0">
      <selection sqref="A1:C1"/>
    </sheetView>
  </sheetViews>
  <sheetFormatPr defaultRowHeight="12.75" customHeight="1" x14ac:dyDescent="0.25"/>
  <cols>
    <col min="1" max="1" width="5.54296875" customWidth="1"/>
    <col min="2" max="2" width="11.81640625" customWidth="1"/>
    <col min="3" max="3" width="12.54296875" customWidth="1"/>
    <col min="4" max="4" width="8.1796875" customWidth="1"/>
    <col min="5" max="5" width="10.453125" customWidth="1"/>
  </cols>
  <sheetData>
    <row r="1" spans="1:5" ht="23.25" customHeight="1" x14ac:dyDescent="0.25">
      <c r="A1" s="62" t="s">
        <v>142</v>
      </c>
      <c r="B1" s="62"/>
      <c r="C1" s="62"/>
      <c r="D1" s="30"/>
      <c r="E1" s="31"/>
    </row>
    <row r="2" spans="1:5" ht="15" customHeight="1" x14ac:dyDescent="0.25">
      <c r="A2" s="63">
        <f ca="1">TODAY()</f>
        <v>45968</v>
      </c>
      <c r="B2" s="63"/>
      <c r="C2" s="63"/>
      <c r="D2" s="30"/>
      <c r="E2" s="31"/>
    </row>
    <row r="3" spans="1:5" ht="14.25" customHeight="1" x14ac:dyDescent="0.25">
      <c r="B3" s="30"/>
      <c r="C3" s="32"/>
      <c r="D3" s="30"/>
      <c r="E3" s="31"/>
    </row>
    <row r="4" spans="1:5" ht="15" customHeight="1" x14ac:dyDescent="0.25">
      <c r="A4" s="33"/>
      <c r="B4" s="34"/>
      <c r="C4" s="35"/>
      <c r="D4" s="34"/>
      <c r="E4" s="36"/>
    </row>
    <row r="5" spans="1:5" ht="14.25" customHeight="1" x14ac:dyDescent="0.25">
      <c r="B5" s="30"/>
      <c r="C5" s="32"/>
      <c r="D5" s="30"/>
      <c r="E5" s="31"/>
    </row>
    <row r="6" spans="1:5" ht="14.25" customHeight="1" x14ac:dyDescent="0.25">
      <c r="B6" s="37" t="s">
        <v>14</v>
      </c>
      <c r="C6" s="38" t="s">
        <v>170</v>
      </c>
      <c r="D6" s="37" t="s">
        <v>102</v>
      </c>
      <c r="E6" s="39" t="s">
        <v>243</v>
      </c>
    </row>
    <row r="7" spans="1:5" ht="14.25" customHeight="1" x14ac:dyDescent="0.25">
      <c r="B7" s="40">
        <v>1</v>
      </c>
      <c r="C7" s="41" t="s">
        <v>145</v>
      </c>
      <c r="D7" s="40">
        <v>10248</v>
      </c>
      <c r="E7" s="42">
        <v>440</v>
      </c>
    </row>
    <row r="8" spans="1:5" ht="14.25" customHeight="1" x14ac:dyDescent="0.25">
      <c r="B8" s="40">
        <v>2</v>
      </c>
      <c r="C8" s="41" t="s">
        <v>16</v>
      </c>
      <c r="D8" s="40">
        <v>10249</v>
      </c>
      <c r="E8" s="42">
        <v>1863.4</v>
      </c>
    </row>
    <row r="9" spans="1:5" ht="14.25" customHeight="1" x14ac:dyDescent="0.25">
      <c r="B9" s="40">
        <v>3</v>
      </c>
      <c r="C9" s="41" t="s">
        <v>179</v>
      </c>
      <c r="D9" s="40">
        <v>10250</v>
      </c>
      <c r="E9" s="42">
        <v>1552.6</v>
      </c>
    </row>
    <row r="10" spans="1:5" ht="14.25" customHeight="1" x14ac:dyDescent="0.25">
      <c r="B10" s="40">
        <v>4</v>
      </c>
      <c r="C10" s="41" t="s">
        <v>32</v>
      </c>
      <c r="D10" s="40">
        <v>10251</v>
      </c>
      <c r="E10" s="42">
        <v>654.05999999999995</v>
      </c>
    </row>
    <row r="11" spans="1:5" ht="14.25" customHeight="1" x14ac:dyDescent="0.25">
      <c r="B11" s="40">
        <v>5</v>
      </c>
      <c r="C11" s="41" t="s">
        <v>79</v>
      </c>
      <c r="D11" s="40">
        <v>10252</v>
      </c>
      <c r="E11" s="42">
        <v>3597.9</v>
      </c>
    </row>
    <row r="12" spans="1:5" ht="14.25" customHeight="1" x14ac:dyDescent="0.25">
      <c r="B12" s="40">
        <v>6</v>
      </c>
      <c r="C12" s="41" t="s">
        <v>145</v>
      </c>
      <c r="D12" s="40">
        <v>10253</v>
      </c>
      <c r="E12" s="42">
        <v>1444.8</v>
      </c>
    </row>
    <row r="13" spans="1:5" ht="14.25" customHeight="1" x14ac:dyDescent="0.25">
      <c r="B13" s="40">
        <v>7</v>
      </c>
      <c r="C13" s="41" t="s">
        <v>150</v>
      </c>
      <c r="D13" s="40">
        <v>10254</v>
      </c>
      <c r="E13" s="42">
        <v>556.62</v>
      </c>
    </row>
    <row r="14" spans="1:5" ht="14.25" customHeight="1" x14ac:dyDescent="0.25">
      <c r="B14" s="40">
        <v>8</v>
      </c>
      <c r="C14" s="41" t="s">
        <v>32</v>
      </c>
      <c r="D14" s="40">
        <v>10255</v>
      </c>
      <c r="E14" s="42">
        <v>2490.5</v>
      </c>
    </row>
    <row r="15" spans="1:5" ht="14.25" customHeight="1" x14ac:dyDescent="0.25">
      <c r="B15" s="40">
        <v>9</v>
      </c>
      <c r="C15" s="41" t="s">
        <v>273</v>
      </c>
      <c r="D15" s="40">
        <v>10256</v>
      </c>
      <c r="E15" s="42">
        <v>517.79999999999995</v>
      </c>
    </row>
    <row r="16" spans="1:5" ht="14.25" customHeight="1" x14ac:dyDescent="0.25">
      <c r="B16" s="40">
        <v>10</v>
      </c>
      <c r="C16" s="41" t="s">
        <v>54</v>
      </c>
      <c r="D16" s="40">
        <v>10257</v>
      </c>
      <c r="E16" s="42">
        <v>1119.9000000000001</v>
      </c>
    </row>
    <row r="17" spans="2:5" ht="14.25" customHeight="1" x14ac:dyDescent="0.25">
      <c r="B17" s="40">
        <v>11</v>
      </c>
      <c r="C17" s="41" t="s">
        <v>150</v>
      </c>
      <c r="D17" s="40">
        <v>10258</v>
      </c>
      <c r="E17" s="42">
        <v>1614.88</v>
      </c>
    </row>
    <row r="18" spans="2:5" ht="14.25" customHeight="1" x14ac:dyDescent="0.25">
      <c r="B18" s="40">
        <v>12</v>
      </c>
      <c r="C18" s="41" t="s">
        <v>34</v>
      </c>
      <c r="D18" s="40">
        <v>10259</v>
      </c>
      <c r="E18" s="42">
        <v>100.8</v>
      </c>
    </row>
    <row r="19" spans="2:5" ht="14.25" customHeight="1" x14ac:dyDescent="0.25">
      <c r="B19" s="40">
        <v>13</v>
      </c>
      <c r="C19" s="41" t="s">
        <v>279</v>
      </c>
      <c r="D19" s="40">
        <v>10260</v>
      </c>
      <c r="E19" s="42">
        <v>1504.65</v>
      </c>
    </row>
    <row r="20" spans="2:5" ht="14.25" customHeight="1" x14ac:dyDescent="0.25">
      <c r="B20" s="40">
        <v>14</v>
      </c>
      <c r="C20" s="41" t="s">
        <v>278</v>
      </c>
      <c r="D20" s="40">
        <v>10261</v>
      </c>
      <c r="E20" s="42">
        <v>448</v>
      </c>
    </row>
    <row r="21" spans="2:5" ht="14.25" customHeight="1" x14ac:dyDescent="0.25">
      <c r="B21" s="40">
        <v>15</v>
      </c>
      <c r="C21" s="41" t="s">
        <v>34</v>
      </c>
      <c r="D21" s="40">
        <v>10262</v>
      </c>
      <c r="E21" s="42">
        <v>584</v>
      </c>
    </row>
    <row r="22" spans="2:5" ht="14.25" customHeight="1" x14ac:dyDescent="0.25">
      <c r="B22" s="40">
        <v>16</v>
      </c>
      <c r="C22" s="41" t="s">
        <v>81</v>
      </c>
      <c r="D22" s="40">
        <v>10263</v>
      </c>
      <c r="E22" s="42">
        <v>1873.8</v>
      </c>
    </row>
    <row r="23" spans="2:5" ht="14.25" customHeight="1" x14ac:dyDescent="0.25">
      <c r="B23" s="40">
        <v>17</v>
      </c>
      <c r="C23" s="41" t="s">
        <v>164</v>
      </c>
      <c r="D23" s="40">
        <v>10264</v>
      </c>
      <c r="E23" s="42">
        <v>695.62</v>
      </c>
    </row>
    <row r="24" spans="2:5" ht="14.25" customHeight="1" x14ac:dyDescent="0.25">
      <c r="B24" s="40">
        <v>18</v>
      </c>
      <c r="C24" s="41" t="s">
        <v>105</v>
      </c>
      <c r="D24" s="40">
        <v>10265</v>
      </c>
      <c r="E24" s="42">
        <v>1176</v>
      </c>
    </row>
    <row r="25" spans="2:5" ht="14.25" customHeight="1" x14ac:dyDescent="0.25">
      <c r="B25" s="40">
        <v>19</v>
      </c>
      <c r="C25" s="41" t="s">
        <v>81</v>
      </c>
      <c r="D25" s="40">
        <v>10266</v>
      </c>
      <c r="E25" s="42">
        <v>346.56</v>
      </c>
    </row>
    <row r="26" spans="2:5" ht="14.25" customHeight="1" x14ac:dyDescent="0.25">
      <c r="B26" s="40">
        <v>20</v>
      </c>
      <c r="C26" s="41" t="s">
        <v>173</v>
      </c>
      <c r="D26" s="40">
        <v>10267</v>
      </c>
      <c r="E26" s="42">
        <v>3536.6</v>
      </c>
    </row>
    <row r="27" spans="2:5" ht="14.25" customHeight="1" x14ac:dyDescent="0.25">
      <c r="B27" s="40">
        <v>21</v>
      </c>
      <c r="C27" s="41" t="s">
        <v>106</v>
      </c>
      <c r="D27" s="40">
        <v>10268</v>
      </c>
      <c r="E27" s="42">
        <v>1101.2</v>
      </c>
    </row>
    <row r="28" spans="2:5" ht="14.25" customHeight="1" x14ac:dyDescent="0.25">
      <c r="B28" s="40">
        <v>22</v>
      </c>
      <c r="C28" s="41" t="s">
        <v>193</v>
      </c>
      <c r="D28" s="40">
        <v>10269</v>
      </c>
      <c r="E28" s="42">
        <v>642.20000000000005</v>
      </c>
    </row>
    <row r="29" spans="2:5" ht="14.25" customHeight="1" x14ac:dyDescent="0.25">
      <c r="B29" s="40">
        <v>23</v>
      </c>
      <c r="C29" s="41" t="s">
        <v>106</v>
      </c>
      <c r="D29" s="40">
        <v>10270</v>
      </c>
      <c r="E29" s="42">
        <v>1376</v>
      </c>
    </row>
    <row r="30" spans="2:5" ht="14.25" customHeight="1" x14ac:dyDescent="0.25">
      <c r="B30" s="40">
        <v>24</v>
      </c>
      <c r="C30" s="41" t="s">
        <v>222</v>
      </c>
      <c r="D30" s="40">
        <v>10271</v>
      </c>
      <c r="E30" s="42">
        <v>48</v>
      </c>
    </row>
    <row r="31" spans="2:5" ht="14.25" customHeight="1" x14ac:dyDescent="0.25">
      <c r="B31" s="40">
        <v>25</v>
      </c>
      <c r="C31" s="41" t="s">
        <v>173</v>
      </c>
      <c r="D31" s="40">
        <v>10272</v>
      </c>
      <c r="E31" s="42">
        <v>1456</v>
      </c>
    </row>
    <row r="32" spans="2:5" ht="14.25" customHeight="1" x14ac:dyDescent="0.25">
      <c r="B32" s="40">
        <v>26</v>
      </c>
      <c r="C32" s="41" t="s">
        <v>105</v>
      </c>
      <c r="D32" s="40">
        <v>10273</v>
      </c>
      <c r="E32" s="42">
        <v>2037.28</v>
      </c>
    </row>
    <row r="33" spans="2:5" ht="14.25" customHeight="1" x14ac:dyDescent="0.25">
      <c r="B33" s="40">
        <v>27</v>
      </c>
      <c r="C33" s="41" t="s">
        <v>58</v>
      </c>
      <c r="D33" s="40">
        <v>10274</v>
      </c>
      <c r="E33" s="42">
        <v>538.6</v>
      </c>
    </row>
    <row r="34" spans="2:5" ht="14.25" customHeight="1" x14ac:dyDescent="0.25">
      <c r="B34" s="40">
        <v>28</v>
      </c>
      <c r="C34" s="41" t="s">
        <v>193</v>
      </c>
      <c r="D34" s="40">
        <v>10275</v>
      </c>
      <c r="E34" s="42">
        <v>291.83999999999997</v>
      </c>
    </row>
    <row r="35" spans="2:5" ht="14.25" customHeight="1" x14ac:dyDescent="0.25">
      <c r="B35" s="40">
        <v>29</v>
      </c>
      <c r="C35" s="41" t="s">
        <v>176</v>
      </c>
      <c r="D35" s="40">
        <v>10276</v>
      </c>
      <c r="E35" s="42">
        <v>420</v>
      </c>
    </row>
    <row r="36" spans="2:5" ht="14.25" customHeight="1" x14ac:dyDescent="0.25">
      <c r="B36" s="40">
        <v>30</v>
      </c>
      <c r="C36" s="41" t="s">
        <v>162</v>
      </c>
      <c r="D36" s="40">
        <v>10277</v>
      </c>
      <c r="E36" s="42">
        <v>1200.8</v>
      </c>
    </row>
    <row r="37" spans="2:5" ht="14.25" customHeight="1" x14ac:dyDescent="0.25">
      <c r="B37" s="40">
        <v>31</v>
      </c>
      <c r="C37" s="41" t="s">
        <v>58</v>
      </c>
      <c r="D37" s="40">
        <v>10278</v>
      </c>
      <c r="E37" s="42">
        <v>1488.8</v>
      </c>
    </row>
    <row r="38" spans="2:5" ht="14.25" customHeight="1" x14ac:dyDescent="0.25">
      <c r="B38" s="40">
        <v>32</v>
      </c>
      <c r="C38" s="41" t="s">
        <v>58</v>
      </c>
      <c r="D38" s="40">
        <v>10279</v>
      </c>
      <c r="E38" s="42">
        <v>351</v>
      </c>
    </row>
    <row r="39" spans="2:5" ht="14.25" customHeight="1" x14ac:dyDescent="0.25">
      <c r="B39" s="40">
        <v>33</v>
      </c>
      <c r="C39" s="41" t="s">
        <v>260</v>
      </c>
      <c r="D39" s="40">
        <v>10280</v>
      </c>
      <c r="E39" s="42">
        <v>613.20000000000005</v>
      </c>
    </row>
    <row r="40" spans="2:5" ht="14.25" customHeight="1" x14ac:dyDescent="0.25">
      <c r="B40" s="40">
        <v>34</v>
      </c>
      <c r="C40" s="41" t="s">
        <v>0</v>
      </c>
      <c r="D40" s="40">
        <v>10281</v>
      </c>
      <c r="E40" s="42">
        <v>86.5</v>
      </c>
    </row>
    <row r="41" spans="2:5" ht="14.25" customHeight="1" x14ac:dyDescent="0.25">
      <c r="B41" s="40">
        <v>35</v>
      </c>
      <c r="C41" s="41" t="s">
        <v>0</v>
      </c>
      <c r="D41" s="40">
        <v>10282</v>
      </c>
      <c r="E41" s="42">
        <v>155.4</v>
      </c>
    </row>
    <row r="42" spans="2:5" ht="14.25" customHeight="1" x14ac:dyDescent="0.25">
      <c r="B42" s="40">
        <v>36</v>
      </c>
      <c r="C42" s="41" t="s">
        <v>164</v>
      </c>
      <c r="D42" s="40">
        <v>10283</v>
      </c>
      <c r="E42" s="42">
        <v>1414.8</v>
      </c>
    </row>
    <row r="43" spans="2:5" ht="14.25" customHeight="1" x14ac:dyDescent="0.25">
      <c r="B43" s="40">
        <v>37</v>
      </c>
      <c r="C43" s="41" t="s">
        <v>122</v>
      </c>
      <c r="D43" s="40">
        <v>10284</v>
      </c>
      <c r="E43" s="42">
        <v>1170.3699999999999</v>
      </c>
    </row>
    <row r="44" spans="2:5" ht="14.25" customHeight="1" x14ac:dyDescent="0.25">
      <c r="B44" s="40">
        <v>38</v>
      </c>
      <c r="C44" s="41" t="s">
        <v>61</v>
      </c>
      <c r="D44" s="40">
        <v>10285</v>
      </c>
      <c r="E44" s="42">
        <v>1743.36</v>
      </c>
    </row>
    <row r="45" spans="2:5" ht="14.25" customHeight="1" x14ac:dyDescent="0.25">
      <c r="B45" s="40">
        <v>39</v>
      </c>
      <c r="C45" s="41" t="s">
        <v>222</v>
      </c>
      <c r="D45" s="40">
        <v>10286</v>
      </c>
      <c r="E45" s="42">
        <v>3016</v>
      </c>
    </row>
    <row r="46" spans="2:5" ht="14.25" customHeight="1" x14ac:dyDescent="0.25">
      <c r="B46" s="40">
        <v>40</v>
      </c>
      <c r="C46" s="41" t="s">
        <v>139</v>
      </c>
      <c r="D46" s="40">
        <v>10287</v>
      </c>
      <c r="E46" s="42">
        <v>819</v>
      </c>
    </row>
    <row r="47" spans="2:5" ht="14.25" customHeight="1" x14ac:dyDescent="0.25">
      <c r="B47" s="40">
        <v>41</v>
      </c>
      <c r="C47" s="41" t="s">
        <v>261</v>
      </c>
      <c r="D47" s="40">
        <v>10288</v>
      </c>
      <c r="E47" s="42">
        <v>80.099999999999994</v>
      </c>
    </row>
    <row r="48" spans="2:5" ht="14.25" customHeight="1" x14ac:dyDescent="0.25">
      <c r="B48" s="40">
        <v>42</v>
      </c>
      <c r="C48" s="41" t="s">
        <v>139</v>
      </c>
      <c r="D48" s="40">
        <v>10289</v>
      </c>
      <c r="E48" s="42">
        <v>479.4</v>
      </c>
    </row>
    <row r="49" spans="2:5" ht="14.25" customHeight="1" x14ac:dyDescent="0.25">
      <c r="B49" s="40">
        <v>43</v>
      </c>
      <c r="C49" s="41" t="s">
        <v>261</v>
      </c>
      <c r="D49" s="40">
        <v>10290</v>
      </c>
      <c r="E49" s="42">
        <v>2169</v>
      </c>
    </row>
    <row r="50" spans="2:5" ht="14.25" customHeight="1" x14ac:dyDescent="0.25">
      <c r="B50" s="40">
        <v>44</v>
      </c>
      <c r="C50" s="41" t="s">
        <v>186</v>
      </c>
      <c r="D50" s="40">
        <v>10291</v>
      </c>
      <c r="E50" s="42">
        <v>497.52</v>
      </c>
    </row>
    <row r="51" spans="2:5" ht="14.25" customHeight="1" x14ac:dyDescent="0.25">
      <c r="B51" s="40">
        <v>45</v>
      </c>
      <c r="C51" s="41" t="s">
        <v>97</v>
      </c>
      <c r="D51" s="40">
        <v>10292</v>
      </c>
      <c r="E51" s="42">
        <v>1296</v>
      </c>
    </row>
    <row r="52" spans="2:5" ht="14.25" customHeight="1" x14ac:dyDescent="0.25">
      <c r="B52" s="40">
        <v>46</v>
      </c>
      <c r="C52" s="41" t="s">
        <v>115</v>
      </c>
      <c r="D52" s="40">
        <v>10293</v>
      </c>
      <c r="E52" s="42">
        <v>848.7</v>
      </c>
    </row>
    <row r="53" spans="2:5" ht="14.25" customHeight="1" x14ac:dyDescent="0.25">
      <c r="B53" s="40">
        <v>47</v>
      </c>
      <c r="C53" s="41" t="s">
        <v>140</v>
      </c>
      <c r="D53" s="40">
        <v>10294</v>
      </c>
      <c r="E53" s="42">
        <v>1887.6</v>
      </c>
    </row>
    <row r="54" spans="2:5" ht="14.25" customHeight="1" x14ac:dyDescent="0.25">
      <c r="B54" s="40">
        <v>48</v>
      </c>
      <c r="C54" s="41" t="s">
        <v>161</v>
      </c>
      <c r="D54" s="40">
        <v>10295</v>
      </c>
      <c r="E54" s="42">
        <v>121.6</v>
      </c>
    </row>
    <row r="55" spans="2:5" ht="14.25" customHeight="1" x14ac:dyDescent="0.25">
      <c r="B55" s="40">
        <v>49</v>
      </c>
      <c r="C55" s="41" t="s">
        <v>115</v>
      </c>
      <c r="D55" s="40">
        <v>10296</v>
      </c>
      <c r="E55" s="42">
        <v>1050.5999999999999</v>
      </c>
    </row>
    <row r="56" spans="2:5" ht="14.25" customHeight="1" x14ac:dyDescent="0.25">
      <c r="B56" s="40">
        <v>50</v>
      </c>
      <c r="C56" s="41" t="s">
        <v>161</v>
      </c>
      <c r="D56" s="40">
        <v>10297</v>
      </c>
      <c r="E56" s="42">
        <v>1420</v>
      </c>
    </row>
    <row r="57" spans="2:5" ht="14.25" customHeight="1" x14ac:dyDescent="0.25">
      <c r="B57" s="40">
        <v>51</v>
      </c>
      <c r="C57" s="41" t="s">
        <v>115</v>
      </c>
      <c r="D57" s="40">
        <v>10298</v>
      </c>
      <c r="E57" s="42">
        <v>2645</v>
      </c>
    </row>
    <row r="58" spans="2:5" ht="14.25" customHeight="1" x14ac:dyDescent="0.25">
      <c r="B58" s="40">
        <v>52</v>
      </c>
      <c r="C58" s="41" t="s">
        <v>275</v>
      </c>
      <c r="D58" s="40">
        <v>10299</v>
      </c>
      <c r="E58" s="42">
        <v>349.5</v>
      </c>
    </row>
    <row r="59" spans="2:5" ht="14.25" customHeight="1" x14ac:dyDescent="0.25">
      <c r="B59" s="40">
        <v>53</v>
      </c>
      <c r="C59" s="41" t="s">
        <v>166</v>
      </c>
      <c r="D59" s="40">
        <v>10300</v>
      </c>
      <c r="E59" s="42">
        <v>608</v>
      </c>
    </row>
    <row r="60" spans="2:5" ht="14.25" customHeight="1" x14ac:dyDescent="0.25">
      <c r="B60" s="40">
        <v>54</v>
      </c>
      <c r="C60" s="41" t="s">
        <v>199</v>
      </c>
      <c r="D60" s="40">
        <v>10301</v>
      </c>
      <c r="E60" s="42">
        <v>755</v>
      </c>
    </row>
    <row r="61" spans="2:5" ht="14.25" customHeight="1" x14ac:dyDescent="0.25">
      <c r="B61" s="40">
        <v>55</v>
      </c>
      <c r="C61" s="41" t="s">
        <v>242</v>
      </c>
      <c r="D61" s="40">
        <v>10302</v>
      </c>
      <c r="E61" s="42">
        <v>2708.8</v>
      </c>
    </row>
    <row r="62" spans="2:5" ht="14.25" customHeight="1" x14ac:dyDescent="0.25">
      <c r="B62" s="40">
        <v>56</v>
      </c>
      <c r="C62" s="41" t="s">
        <v>166</v>
      </c>
      <c r="D62" s="40">
        <v>10303</v>
      </c>
      <c r="E62" s="42">
        <v>1117.8</v>
      </c>
    </row>
    <row r="63" spans="2:5" ht="14.25" customHeight="1" x14ac:dyDescent="0.25">
      <c r="B63" s="40">
        <v>57</v>
      </c>
      <c r="C63" s="41" t="s">
        <v>199</v>
      </c>
      <c r="D63" s="40">
        <v>10304</v>
      </c>
      <c r="E63" s="42">
        <v>954.4</v>
      </c>
    </row>
    <row r="64" spans="2:5" ht="14.25" customHeight="1" x14ac:dyDescent="0.25">
      <c r="B64" s="40">
        <v>58</v>
      </c>
      <c r="C64" s="41" t="s">
        <v>242</v>
      </c>
      <c r="D64" s="40">
        <v>10305</v>
      </c>
      <c r="E64" s="42">
        <v>3741.3</v>
      </c>
    </row>
    <row r="65" spans="2:5" ht="14.25" customHeight="1" x14ac:dyDescent="0.25">
      <c r="B65" s="40">
        <v>59</v>
      </c>
      <c r="C65" s="41" t="s">
        <v>248</v>
      </c>
      <c r="D65" s="40">
        <v>10306</v>
      </c>
      <c r="E65" s="42">
        <v>498.5</v>
      </c>
    </row>
    <row r="66" spans="2:5" ht="14.25" customHeight="1" x14ac:dyDescent="0.25">
      <c r="B66" s="40">
        <v>60</v>
      </c>
      <c r="C66" s="41" t="s">
        <v>113</v>
      </c>
      <c r="D66" s="40">
        <v>10307</v>
      </c>
      <c r="E66" s="42">
        <v>424</v>
      </c>
    </row>
    <row r="67" spans="2:5" ht="14.25" customHeight="1" x14ac:dyDescent="0.25">
      <c r="B67" s="40">
        <v>61</v>
      </c>
      <c r="C67" s="41" t="s">
        <v>187</v>
      </c>
      <c r="D67" s="40">
        <v>10308</v>
      </c>
      <c r="E67" s="42">
        <v>88.8</v>
      </c>
    </row>
    <row r="68" spans="2:5" ht="14.25" customHeight="1" x14ac:dyDescent="0.25">
      <c r="B68" s="40">
        <v>62</v>
      </c>
      <c r="C68" s="41" t="s">
        <v>66</v>
      </c>
      <c r="D68" s="40">
        <v>10309</v>
      </c>
      <c r="E68" s="42">
        <v>1762</v>
      </c>
    </row>
    <row r="69" spans="2:5" ht="14.25" customHeight="1" x14ac:dyDescent="0.25">
      <c r="B69" s="40">
        <v>63</v>
      </c>
      <c r="C69" s="41" t="s">
        <v>226</v>
      </c>
      <c r="D69" s="40">
        <v>10310</v>
      </c>
      <c r="E69" s="42">
        <v>336</v>
      </c>
    </row>
    <row r="70" spans="2:5" ht="14.25" customHeight="1" x14ac:dyDescent="0.25">
      <c r="B70" s="40">
        <v>64</v>
      </c>
      <c r="C70" s="41" t="s">
        <v>48</v>
      </c>
      <c r="D70" s="40">
        <v>10311</v>
      </c>
      <c r="E70" s="42">
        <v>268.8</v>
      </c>
    </row>
    <row r="71" spans="2:5" ht="14.25" customHeight="1" x14ac:dyDescent="0.25">
      <c r="B71" s="40">
        <v>65</v>
      </c>
      <c r="C71" s="41" t="s">
        <v>13</v>
      </c>
      <c r="D71" s="40">
        <v>10312</v>
      </c>
      <c r="E71" s="42">
        <v>1614.8</v>
      </c>
    </row>
    <row r="72" spans="2:5" ht="14.25" customHeight="1" x14ac:dyDescent="0.25">
      <c r="B72" s="40">
        <v>66</v>
      </c>
      <c r="C72" s="41" t="s">
        <v>192</v>
      </c>
      <c r="D72" s="40">
        <v>10313</v>
      </c>
      <c r="E72" s="42">
        <v>182.4</v>
      </c>
    </row>
    <row r="73" spans="2:5" ht="14.25" customHeight="1" x14ac:dyDescent="0.25">
      <c r="B73" s="40">
        <v>67</v>
      </c>
      <c r="C73" s="41" t="s">
        <v>192</v>
      </c>
      <c r="D73" s="40">
        <v>10314</v>
      </c>
      <c r="E73" s="42">
        <v>2094.3000000000002</v>
      </c>
    </row>
    <row r="74" spans="2:5" ht="14.25" customHeight="1" x14ac:dyDescent="0.25">
      <c r="B74" s="40">
        <v>68</v>
      </c>
      <c r="C74" s="41" t="s">
        <v>13</v>
      </c>
      <c r="D74" s="40">
        <v>10315</v>
      </c>
      <c r="E74" s="42">
        <v>516.79999999999995</v>
      </c>
    </row>
    <row r="75" spans="2:5" ht="14.25" customHeight="1" x14ac:dyDescent="0.25">
      <c r="B75" s="40">
        <v>69</v>
      </c>
      <c r="C75" s="41" t="s">
        <v>101</v>
      </c>
      <c r="D75" s="40">
        <v>10316</v>
      </c>
      <c r="E75" s="42">
        <v>2835</v>
      </c>
    </row>
    <row r="76" spans="2:5" ht="14.25" customHeight="1" x14ac:dyDescent="0.25">
      <c r="B76" s="40">
        <v>70</v>
      </c>
      <c r="C76" s="41" t="s">
        <v>19</v>
      </c>
      <c r="D76" s="40">
        <v>10317</v>
      </c>
      <c r="E76" s="42">
        <v>288</v>
      </c>
    </row>
    <row r="77" spans="2:5" ht="14.25" customHeight="1" x14ac:dyDescent="0.25">
      <c r="B77" s="40">
        <v>71</v>
      </c>
      <c r="C77" s="41" t="s">
        <v>192</v>
      </c>
      <c r="D77" s="40">
        <v>10318</v>
      </c>
      <c r="E77" s="42">
        <v>240.4</v>
      </c>
    </row>
    <row r="78" spans="2:5" ht="14.25" customHeight="1" x14ac:dyDescent="0.25">
      <c r="B78" s="40">
        <v>72</v>
      </c>
      <c r="C78" s="41" t="s">
        <v>175</v>
      </c>
      <c r="D78" s="40">
        <v>10319</v>
      </c>
      <c r="E78" s="42">
        <v>1191.2</v>
      </c>
    </row>
    <row r="79" spans="2:5" ht="14.25" customHeight="1" x14ac:dyDescent="0.25">
      <c r="B79" s="40">
        <v>73</v>
      </c>
      <c r="C79" s="41" t="s">
        <v>148</v>
      </c>
      <c r="D79" s="40">
        <v>10320</v>
      </c>
      <c r="E79" s="42">
        <v>516</v>
      </c>
    </row>
    <row r="80" spans="2:5" ht="14.25" customHeight="1" x14ac:dyDescent="0.25">
      <c r="B80" s="40">
        <v>74</v>
      </c>
      <c r="C80" s="41" t="s">
        <v>175</v>
      </c>
      <c r="D80" s="40">
        <v>10321</v>
      </c>
      <c r="E80" s="42">
        <v>144</v>
      </c>
    </row>
    <row r="81" spans="2:5" ht="14.25" customHeight="1" x14ac:dyDescent="0.25">
      <c r="B81" s="40">
        <v>75</v>
      </c>
      <c r="C81" s="41" t="s">
        <v>66</v>
      </c>
      <c r="D81" s="40">
        <v>10322</v>
      </c>
      <c r="E81" s="42">
        <v>112</v>
      </c>
    </row>
    <row r="82" spans="2:5" ht="14.25" customHeight="1" x14ac:dyDescent="0.25">
      <c r="B82" s="40">
        <v>76</v>
      </c>
      <c r="C82" s="41" t="s">
        <v>9</v>
      </c>
      <c r="D82" s="40">
        <v>10323</v>
      </c>
      <c r="E82" s="42">
        <v>164.4</v>
      </c>
    </row>
    <row r="83" spans="2:5" ht="14.25" customHeight="1" x14ac:dyDescent="0.25">
      <c r="B83" s="40">
        <v>77</v>
      </c>
      <c r="C83" s="41" t="s">
        <v>19</v>
      </c>
      <c r="D83" s="40">
        <v>10324</v>
      </c>
      <c r="E83" s="42">
        <v>5275.71</v>
      </c>
    </row>
    <row r="84" spans="2:5" ht="14.25" customHeight="1" x14ac:dyDescent="0.25">
      <c r="B84" s="40">
        <v>78</v>
      </c>
      <c r="C84" s="41" t="s">
        <v>9</v>
      </c>
      <c r="D84" s="40">
        <v>10325</v>
      </c>
      <c r="E84" s="42">
        <v>1497</v>
      </c>
    </row>
    <row r="85" spans="2:5" ht="14.25" customHeight="1" x14ac:dyDescent="0.25">
      <c r="B85" s="40">
        <v>79</v>
      </c>
      <c r="C85" s="41" t="s">
        <v>9</v>
      </c>
      <c r="D85" s="40">
        <v>10326</v>
      </c>
      <c r="E85" s="42">
        <v>982</v>
      </c>
    </row>
    <row r="86" spans="2:5" ht="14.25" customHeight="1" x14ac:dyDescent="0.25">
      <c r="B86" s="40">
        <v>80</v>
      </c>
      <c r="C86" s="41" t="s">
        <v>9</v>
      </c>
      <c r="D86" s="40">
        <v>10327</v>
      </c>
      <c r="E86" s="42">
        <v>1810</v>
      </c>
    </row>
    <row r="87" spans="2:5" ht="14.25" customHeight="1" x14ac:dyDescent="0.25">
      <c r="B87" s="40">
        <v>81</v>
      </c>
      <c r="C87" s="41" t="s">
        <v>253</v>
      </c>
      <c r="D87" s="40">
        <v>10328</v>
      </c>
      <c r="E87" s="42">
        <v>1168</v>
      </c>
    </row>
    <row r="88" spans="2:5" ht="14.25" customHeight="1" x14ac:dyDescent="0.25">
      <c r="B88" s="40">
        <v>82</v>
      </c>
      <c r="C88" s="41" t="s">
        <v>66</v>
      </c>
      <c r="D88" s="40">
        <v>10329</v>
      </c>
      <c r="E88" s="42">
        <v>4578.43</v>
      </c>
    </row>
    <row r="89" spans="2:5" ht="14.25" customHeight="1" x14ac:dyDescent="0.25">
      <c r="B89" s="40">
        <v>83</v>
      </c>
      <c r="C89" s="41" t="s">
        <v>151</v>
      </c>
      <c r="D89" s="40">
        <v>10330</v>
      </c>
      <c r="E89" s="42">
        <v>1649</v>
      </c>
    </row>
    <row r="90" spans="2:5" ht="14.25" customHeight="1" x14ac:dyDescent="0.25">
      <c r="B90" s="40">
        <v>84</v>
      </c>
      <c r="C90" s="41" t="s">
        <v>177</v>
      </c>
      <c r="D90" s="40">
        <v>10331</v>
      </c>
      <c r="E90" s="42">
        <v>88.5</v>
      </c>
    </row>
    <row r="91" spans="2:5" ht="14.25" customHeight="1" x14ac:dyDescent="0.25">
      <c r="B91" s="40">
        <v>85</v>
      </c>
      <c r="C91" s="41" t="s">
        <v>177</v>
      </c>
      <c r="D91" s="40">
        <v>10332</v>
      </c>
      <c r="E91" s="42">
        <v>1786.88</v>
      </c>
    </row>
    <row r="92" spans="2:5" ht="14.25" customHeight="1" x14ac:dyDescent="0.25">
      <c r="B92" s="40">
        <v>86</v>
      </c>
      <c r="C92" s="41" t="s">
        <v>137</v>
      </c>
      <c r="D92" s="40">
        <v>10333</v>
      </c>
      <c r="E92" s="42">
        <v>877.2</v>
      </c>
    </row>
    <row r="93" spans="2:5" ht="14.25" customHeight="1" x14ac:dyDescent="0.25">
      <c r="B93" s="40">
        <v>87</v>
      </c>
      <c r="C93" s="41" t="s">
        <v>151</v>
      </c>
      <c r="D93" s="40">
        <v>10334</v>
      </c>
      <c r="E93" s="42">
        <v>144.80000000000001</v>
      </c>
    </row>
    <row r="94" spans="2:5" ht="14.25" customHeight="1" x14ac:dyDescent="0.25">
      <c r="B94" s="40">
        <v>88</v>
      </c>
      <c r="C94" s="41" t="s">
        <v>12</v>
      </c>
      <c r="D94" s="40">
        <v>10335</v>
      </c>
      <c r="E94" s="42">
        <v>2036.16</v>
      </c>
    </row>
    <row r="95" spans="2:5" ht="14.25" customHeight="1" x14ac:dyDescent="0.25">
      <c r="B95" s="40">
        <v>89</v>
      </c>
      <c r="C95" s="41" t="s">
        <v>137</v>
      </c>
      <c r="D95" s="40">
        <v>10336</v>
      </c>
      <c r="E95" s="42">
        <v>285.12</v>
      </c>
    </row>
    <row r="96" spans="2:5" ht="14.25" customHeight="1" x14ac:dyDescent="0.25">
      <c r="B96" s="40">
        <v>90</v>
      </c>
      <c r="C96" s="41" t="s">
        <v>244</v>
      </c>
      <c r="D96" s="40">
        <v>10337</v>
      </c>
      <c r="E96" s="42">
        <v>2467</v>
      </c>
    </row>
    <row r="97" spans="2:5" ht="14.25" customHeight="1" x14ac:dyDescent="0.25">
      <c r="B97" s="40">
        <v>91</v>
      </c>
      <c r="C97" s="41" t="s">
        <v>244</v>
      </c>
      <c r="D97" s="40">
        <v>10338</v>
      </c>
      <c r="E97" s="42">
        <v>934.5</v>
      </c>
    </row>
    <row r="98" spans="2:5" ht="14.25" customHeight="1" x14ac:dyDescent="0.25">
      <c r="B98" s="40">
        <v>92</v>
      </c>
      <c r="C98" s="41" t="s">
        <v>228</v>
      </c>
      <c r="D98" s="40">
        <v>10339</v>
      </c>
      <c r="E98" s="42">
        <v>3354</v>
      </c>
    </row>
    <row r="99" spans="2:5" ht="14.25" customHeight="1" x14ac:dyDescent="0.25">
      <c r="B99" s="40">
        <v>93</v>
      </c>
      <c r="C99" s="41" t="s">
        <v>26</v>
      </c>
      <c r="D99" s="40">
        <v>10340</v>
      </c>
      <c r="E99" s="42">
        <v>2436.1799999999998</v>
      </c>
    </row>
    <row r="100" spans="2:5" ht="14.25" customHeight="1" x14ac:dyDescent="0.25">
      <c r="B100" s="40">
        <v>94</v>
      </c>
      <c r="C100" s="41" t="s">
        <v>130</v>
      </c>
      <c r="D100" s="40">
        <v>10341</v>
      </c>
      <c r="E100" s="42">
        <v>352.6</v>
      </c>
    </row>
    <row r="101" spans="2:5" ht="14.25" customHeight="1" x14ac:dyDescent="0.25">
      <c r="B101" s="40">
        <v>95</v>
      </c>
      <c r="C101" s="41" t="s">
        <v>228</v>
      </c>
      <c r="D101" s="40">
        <v>10342</v>
      </c>
      <c r="E101" s="42">
        <v>1840.64</v>
      </c>
    </row>
    <row r="102" spans="2:5" ht="14.25" customHeight="1" x14ac:dyDescent="0.25">
      <c r="B102" s="40">
        <v>96</v>
      </c>
      <c r="C102" s="41" t="s">
        <v>68</v>
      </c>
      <c r="D102" s="40">
        <v>10343</v>
      </c>
      <c r="E102" s="42">
        <v>1584</v>
      </c>
    </row>
    <row r="103" spans="2:5" ht="14.25" customHeight="1" x14ac:dyDescent="0.25">
      <c r="B103" s="40">
        <v>97</v>
      </c>
      <c r="C103" s="41" t="s">
        <v>130</v>
      </c>
      <c r="D103" s="40">
        <v>10344</v>
      </c>
      <c r="E103" s="42">
        <v>2296</v>
      </c>
    </row>
    <row r="104" spans="2:5" ht="14.25" customHeight="1" x14ac:dyDescent="0.25">
      <c r="B104" s="40">
        <v>98</v>
      </c>
      <c r="C104" s="41" t="s">
        <v>169</v>
      </c>
      <c r="D104" s="40">
        <v>10345</v>
      </c>
      <c r="E104" s="42">
        <v>2924.8</v>
      </c>
    </row>
    <row r="105" spans="2:5" ht="14.25" customHeight="1" x14ac:dyDescent="0.25">
      <c r="B105" s="40">
        <v>99</v>
      </c>
      <c r="C105" s="41" t="s">
        <v>26</v>
      </c>
      <c r="D105" s="40">
        <v>10346</v>
      </c>
      <c r="E105" s="42">
        <v>1618.88</v>
      </c>
    </row>
    <row r="106" spans="2:5" ht="14.25" customHeight="1" x14ac:dyDescent="0.25">
      <c r="B106" s="40">
        <v>100</v>
      </c>
      <c r="C106" s="41" t="s">
        <v>26</v>
      </c>
      <c r="D106" s="40">
        <v>10347</v>
      </c>
      <c r="E106" s="42">
        <v>814.42</v>
      </c>
    </row>
    <row r="107" spans="2:5" ht="14.25" customHeight="1" x14ac:dyDescent="0.25">
      <c r="B107" s="40">
        <v>101</v>
      </c>
      <c r="C107" s="41" t="s">
        <v>129</v>
      </c>
      <c r="D107" s="40">
        <v>10348</v>
      </c>
      <c r="E107" s="42">
        <v>363.6</v>
      </c>
    </row>
    <row r="108" spans="2:5" ht="14.25" customHeight="1" x14ac:dyDescent="0.25">
      <c r="B108" s="40">
        <v>102</v>
      </c>
      <c r="C108" s="41" t="s">
        <v>129</v>
      </c>
      <c r="D108" s="40">
        <v>10349</v>
      </c>
      <c r="E108" s="42">
        <v>141.6</v>
      </c>
    </row>
    <row r="109" spans="2:5" ht="14.25" customHeight="1" x14ac:dyDescent="0.25">
      <c r="B109" s="40">
        <v>103</v>
      </c>
      <c r="C109" s="41" t="s">
        <v>204</v>
      </c>
      <c r="D109" s="40">
        <v>10350</v>
      </c>
      <c r="E109" s="42">
        <v>642.05999999999995</v>
      </c>
    </row>
    <row r="110" spans="2:5" ht="14.25" customHeight="1" x14ac:dyDescent="0.25">
      <c r="B110" s="40">
        <v>104</v>
      </c>
      <c r="C110" s="41" t="s">
        <v>259</v>
      </c>
      <c r="D110" s="40">
        <v>10351</v>
      </c>
      <c r="E110" s="42">
        <v>5398.72</v>
      </c>
    </row>
    <row r="111" spans="2:5" ht="14.25" customHeight="1" x14ac:dyDescent="0.25">
      <c r="B111" s="40">
        <v>105</v>
      </c>
      <c r="C111" s="41" t="s">
        <v>183</v>
      </c>
      <c r="D111" s="40">
        <v>10352</v>
      </c>
      <c r="E111" s="42">
        <v>136.30000000000001</v>
      </c>
    </row>
    <row r="112" spans="2:5" ht="14.25" customHeight="1" x14ac:dyDescent="0.25">
      <c r="B112" s="40">
        <v>106</v>
      </c>
      <c r="C112" s="41" t="s">
        <v>158</v>
      </c>
      <c r="D112" s="40">
        <v>10353</v>
      </c>
      <c r="E112" s="42">
        <v>8593.2800000000007</v>
      </c>
    </row>
    <row r="113" spans="2:5" ht="14.25" customHeight="1" x14ac:dyDescent="0.25">
      <c r="B113" s="40">
        <v>107</v>
      </c>
      <c r="C113" s="41" t="s">
        <v>259</v>
      </c>
      <c r="D113" s="40">
        <v>10354</v>
      </c>
      <c r="E113" s="42">
        <v>568.79999999999995</v>
      </c>
    </row>
    <row r="114" spans="2:5" ht="14.25" customHeight="1" x14ac:dyDescent="0.25">
      <c r="B114" s="40">
        <v>108</v>
      </c>
      <c r="C114" s="41" t="s">
        <v>259</v>
      </c>
      <c r="D114" s="40">
        <v>10355</v>
      </c>
      <c r="E114" s="42">
        <v>480</v>
      </c>
    </row>
    <row r="115" spans="2:5" ht="14.25" customHeight="1" x14ac:dyDescent="0.25">
      <c r="B115" s="40">
        <v>109</v>
      </c>
      <c r="C115" s="41" t="s">
        <v>247</v>
      </c>
      <c r="D115" s="40">
        <v>10356</v>
      </c>
      <c r="E115" s="42">
        <v>1106.4000000000001</v>
      </c>
    </row>
    <row r="116" spans="2:5" ht="14.25" customHeight="1" x14ac:dyDescent="0.25">
      <c r="B116" s="40">
        <v>110</v>
      </c>
      <c r="C116" s="41" t="s">
        <v>147</v>
      </c>
      <c r="D116" s="40">
        <v>10357</v>
      </c>
      <c r="E116" s="42">
        <v>1167.68</v>
      </c>
    </row>
    <row r="117" spans="2:5" ht="14.25" customHeight="1" x14ac:dyDescent="0.25">
      <c r="B117" s="40">
        <v>111</v>
      </c>
      <c r="C117" s="41" t="s">
        <v>247</v>
      </c>
      <c r="D117" s="40">
        <v>10358</v>
      </c>
      <c r="E117" s="42">
        <v>429.4</v>
      </c>
    </row>
    <row r="118" spans="2:5" ht="14.25" customHeight="1" x14ac:dyDescent="0.25">
      <c r="B118" s="40">
        <v>112</v>
      </c>
      <c r="C118" s="41" t="s">
        <v>69</v>
      </c>
      <c r="D118" s="40">
        <v>10359</v>
      </c>
      <c r="E118" s="42">
        <v>3471.68</v>
      </c>
    </row>
    <row r="119" spans="2:5" ht="14.25" customHeight="1" x14ac:dyDescent="0.25">
      <c r="B119" s="40">
        <v>113</v>
      </c>
      <c r="C119" s="41" t="s">
        <v>147</v>
      </c>
      <c r="D119" s="40">
        <v>10360</v>
      </c>
      <c r="E119" s="42">
        <v>7390.2</v>
      </c>
    </row>
    <row r="120" spans="2:5" ht="14.25" customHeight="1" x14ac:dyDescent="0.25">
      <c r="B120" s="40">
        <v>114</v>
      </c>
      <c r="C120" s="41" t="s">
        <v>204</v>
      </c>
      <c r="D120" s="40">
        <v>10361</v>
      </c>
      <c r="E120" s="42">
        <v>2046.24</v>
      </c>
    </row>
    <row r="121" spans="2:5" ht="14.25" customHeight="1" x14ac:dyDescent="0.25">
      <c r="B121" s="40">
        <v>115</v>
      </c>
      <c r="C121" s="41" t="s">
        <v>185</v>
      </c>
      <c r="D121" s="40">
        <v>10362</v>
      </c>
      <c r="E121" s="42">
        <v>1549.6</v>
      </c>
    </row>
    <row r="122" spans="2:5" ht="14.25" customHeight="1" x14ac:dyDescent="0.25">
      <c r="B122" s="40">
        <v>116</v>
      </c>
      <c r="C122" s="41" t="s">
        <v>219</v>
      </c>
      <c r="D122" s="40">
        <v>10363</v>
      </c>
      <c r="E122" s="42">
        <v>447.2</v>
      </c>
    </row>
    <row r="123" spans="2:5" ht="14.25" customHeight="1" x14ac:dyDescent="0.25">
      <c r="B123" s="40">
        <v>117</v>
      </c>
      <c r="C123" s="41" t="s">
        <v>219</v>
      </c>
      <c r="D123" s="40">
        <v>10364</v>
      </c>
      <c r="E123" s="42">
        <v>950</v>
      </c>
    </row>
    <row r="124" spans="2:5" ht="14.25" customHeight="1" x14ac:dyDescent="0.25">
      <c r="B124" s="40">
        <v>118</v>
      </c>
      <c r="C124" s="41" t="s">
        <v>147</v>
      </c>
      <c r="D124" s="40">
        <v>10365</v>
      </c>
      <c r="E124" s="42">
        <v>403.2</v>
      </c>
    </row>
    <row r="125" spans="2:5" ht="14.25" customHeight="1" x14ac:dyDescent="0.25">
      <c r="B125" s="40">
        <v>119</v>
      </c>
      <c r="C125" s="41" t="s">
        <v>231</v>
      </c>
      <c r="D125" s="40">
        <v>10366</v>
      </c>
      <c r="E125" s="42">
        <v>136</v>
      </c>
    </row>
    <row r="126" spans="2:5" ht="14.25" customHeight="1" x14ac:dyDescent="0.25">
      <c r="B126" s="40">
        <v>120</v>
      </c>
      <c r="C126" s="41" t="s">
        <v>147</v>
      </c>
      <c r="D126" s="40">
        <v>10367</v>
      </c>
      <c r="E126" s="42">
        <v>834.2</v>
      </c>
    </row>
    <row r="127" spans="2:5" ht="14.25" customHeight="1" x14ac:dyDescent="0.25">
      <c r="B127" s="40">
        <v>121</v>
      </c>
      <c r="C127" s="41" t="s">
        <v>147</v>
      </c>
      <c r="D127" s="40">
        <v>10368</v>
      </c>
      <c r="E127" s="42">
        <v>1689.78</v>
      </c>
    </row>
    <row r="128" spans="2:5" ht="14.25" customHeight="1" x14ac:dyDescent="0.25">
      <c r="B128" s="40">
        <v>122</v>
      </c>
      <c r="C128" s="41" t="s">
        <v>238</v>
      </c>
      <c r="D128" s="40">
        <v>10369</v>
      </c>
      <c r="E128" s="42">
        <v>2390.4</v>
      </c>
    </row>
    <row r="129" spans="2:5" ht="14.25" customHeight="1" x14ac:dyDescent="0.25">
      <c r="B129" s="40">
        <v>123</v>
      </c>
      <c r="C129" s="41" t="s">
        <v>200</v>
      </c>
      <c r="D129" s="40">
        <v>10370</v>
      </c>
      <c r="E129" s="42">
        <v>1117.5999999999999</v>
      </c>
    </row>
    <row r="130" spans="2:5" ht="14.25" customHeight="1" x14ac:dyDescent="0.25">
      <c r="B130" s="40">
        <v>124</v>
      </c>
      <c r="C130" s="41" t="s">
        <v>10</v>
      </c>
      <c r="D130" s="40">
        <v>10371</v>
      </c>
      <c r="E130" s="42">
        <v>72.959999999999994</v>
      </c>
    </row>
    <row r="131" spans="2:5" ht="14.25" customHeight="1" x14ac:dyDescent="0.25">
      <c r="B131" s="40">
        <v>125</v>
      </c>
      <c r="C131" s="41" t="s">
        <v>238</v>
      </c>
      <c r="D131" s="40">
        <v>10372</v>
      </c>
      <c r="E131" s="42">
        <v>9210.9</v>
      </c>
    </row>
    <row r="132" spans="2:5" ht="14.25" customHeight="1" x14ac:dyDescent="0.25">
      <c r="B132" s="40">
        <v>126</v>
      </c>
      <c r="C132" s="41" t="s">
        <v>41</v>
      </c>
      <c r="D132" s="40">
        <v>10373</v>
      </c>
      <c r="E132" s="42">
        <v>1366.4</v>
      </c>
    </row>
    <row r="133" spans="2:5" ht="14.25" customHeight="1" x14ac:dyDescent="0.25">
      <c r="B133" s="40">
        <v>127</v>
      </c>
      <c r="C133" s="41" t="s">
        <v>238</v>
      </c>
      <c r="D133" s="40">
        <v>10374</v>
      </c>
      <c r="E133" s="42">
        <v>459</v>
      </c>
    </row>
    <row r="134" spans="2:5" ht="14.25" customHeight="1" x14ac:dyDescent="0.25">
      <c r="B134" s="40">
        <v>128</v>
      </c>
      <c r="C134" s="41" t="s">
        <v>238</v>
      </c>
      <c r="D134" s="40">
        <v>10375</v>
      </c>
      <c r="E134" s="42">
        <v>338</v>
      </c>
    </row>
    <row r="135" spans="2:5" ht="14.25" customHeight="1" x14ac:dyDescent="0.25">
      <c r="B135" s="40">
        <v>129</v>
      </c>
      <c r="C135" s="41" t="s">
        <v>203</v>
      </c>
      <c r="D135" s="40">
        <v>10376</v>
      </c>
      <c r="E135" s="42">
        <v>399</v>
      </c>
    </row>
    <row r="136" spans="2:5" ht="14.25" customHeight="1" x14ac:dyDescent="0.25">
      <c r="B136" s="40">
        <v>130</v>
      </c>
      <c r="C136" s="41" t="s">
        <v>203</v>
      </c>
      <c r="D136" s="40">
        <v>10377</v>
      </c>
      <c r="E136" s="42">
        <v>863.6</v>
      </c>
    </row>
    <row r="137" spans="2:5" ht="14.25" customHeight="1" x14ac:dyDescent="0.25">
      <c r="B137" s="40">
        <v>131</v>
      </c>
      <c r="C137" s="41" t="s">
        <v>80</v>
      </c>
      <c r="D137" s="40">
        <v>10378</v>
      </c>
      <c r="E137" s="42">
        <v>103.2</v>
      </c>
    </row>
    <row r="138" spans="2:5" ht="14.25" customHeight="1" x14ac:dyDescent="0.25">
      <c r="B138" s="40">
        <v>132</v>
      </c>
      <c r="C138" s="41" t="s">
        <v>203</v>
      </c>
      <c r="D138" s="40">
        <v>10379</v>
      </c>
      <c r="E138" s="42">
        <v>863.28</v>
      </c>
    </row>
    <row r="139" spans="2:5" ht="14.25" customHeight="1" x14ac:dyDescent="0.25">
      <c r="B139" s="40">
        <v>133</v>
      </c>
      <c r="C139" s="41" t="s">
        <v>135</v>
      </c>
      <c r="D139" s="40">
        <v>10380</v>
      </c>
      <c r="E139" s="42">
        <v>1313.82</v>
      </c>
    </row>
    <row r="140" spans="2:5" ht="14.25" customHeight="1" x14ac:dyDescent="0.25">
      <c r="B140" s="40">
        <v>134</v>
      </c>
      <c r="C140" s="41" t="s">
        <v>203</v>
      </c>
      <c r="D140" s="40">
        <v>10381</v>
      </c>
      <c r="E140" s="42">
        <v>112</v>
      </c>
    </row>
    <row r="141" spans="2:5" ht="14.25" customHeight="1" x14ac:dyDescent="0.25">
      <c r="B141" s="40">
        <v>135</v>
      </c>
      <c r="C141" s="41" t="s">
        <v>103</v>
      </c>
      <c r="D141" s="40">
        <v>10382</v>
      </c>
      <c r="E141" s="42">
        <v>2900</v>
      </c>
    </row>
    <row r="142" spans="2:5" ht="14.25" customHeight="1" x14ac:dyDescent="0.25">
      <c r="B142" s="40">
        <v>136</v>
      </c>
      <c r="C142" s="41" t="s">
        <v>174</v>
      </c>
      <c r="D142" s="40">
        <v>10383</v>
      </c>
      <c r="E142" s="42">
        <v>899</v>
      </c>
    </row>
    <row r="143" spans="2:5" ht="14.25" customHeight="1" x14ac:dyDescent="0.25">
      <c r="B143" s="40">
        <v>137</v>
      </c>
      <c r="C143" s="41" t="s">
        <v>232</v>
      </c>
      <c r="D143" s="40">
        <v>10384</v>
      </c>
      <c r="E143" s="42">
        <v>2222.4</v>
      </c>
    </row>
    <row r="144" spans="2:5" ht="14.25" customHeight="1" x14ac:dyDescent="0.25">
      <c r="B144" s="40">
        <v>138</v>
      </c>
      <c r="C144" s="41" t="s">
        <v>205</v>
      </c>
      <c r="D144" s="40">
        <v>10385</v>
      </c>
      <c r="E144" s="42">
        <v>691.2</v>
      </c>
    </row>
    <row r="145" spans="2:5" ht="14.25" customHeight="1" x14ac:dyDescent="0.25">
      <c r="B145" s="40">
        <v>139</v>
      </c>
      <c r="C145" s="41" t="s">
        <v>288</v>
      </c>
      <c r="D145" s="40">
        <v>10386</v>
      </c>
      <c r="E145" s="42">
        <v>166</v>
      </c>
    </row>
    <row r="146" spans="2:5" ht="14.25" customHeight="1" x14ac:dyDescent="0.25">
      <c r="B146" s="40">
        <v>140</v>
      </c>
      <c r="C146" s="41" t="s">
        <v>232</v>
      </c>
      <c r="D146" s="40">
        <v>10387</v>
      </c>
      <c r="E146" s="42">
        <v>1058.4000000000001</v>
      </c>
    </row>
    <row r="147" spans="2:5" ht="14.25" customHeight="1" x14ac:dyDescent="0.25">
      <c r="B147" s="40">
        <v>141</v>
      </c>
      <c r="C147" s="41" t="s">
        <v>232</v>
      </c>
      <c r="D147" s="40">
        <v>10388</v>
      </c>
      <c r="E147" s="42">
        <v>1228.8</v>
      </c>
    </row>
    <row r="148" spans="2:5" ht="14.25" customHeight="1" x14ac:dyDescent="0.25">
      <c r="B148" s="40">
        <v>142</v>
      </c>
      <c r="C148" s="41" t="s">
        <v>10</v>
      </c>
      <c r="D148" s="40">
        <v>10389</v>
      </c>
      <c r="E148" s="42">
        <v>1832.8</v>
      </c>
    </row>
    <row r="149" spans="2:5" ht="14.25" customHeight="1" x14ac:dyDescent="0.25">
      <c r="B149" s="40">
        <v>143</v>
      </c>
      <c r="C149" s="41" t="s">
        <v>112</v>
      </c>
      <c r="D149" s="40">
        <v>10390</v>
      </c>
      <c r="E149" s="42">
        <v>2090.88</v>
      </c>
    </row>
    <row r="150" spans="2:5" ht="15" customHeight="1" x14ac:dyDescent="0.25">
      <c r="B150" s="43">
        <v>144</v>
      </c>
      <c r="C150" s="44" t="s">
        <v>29</v>
      </c>
      <c r="D150" s="43">
        <v>10391</v>
      </c>
      <c r="E150" s="45">
        <v>86.4</v>
      </c>
    </row>
    <row r="151" spans="2:5" ht="15" customHeight="1" x14ac:dyDescent="0.25">
      <c r="B151" s="46" t="s">
        <v>59</v>
      </c>
      <c r="C151" s="47"/>
      <c r="D151" s="48"/>
      <c r="E151" s="49">
        <f>SUM(E7:E150)</f>
        <v>194630.36</v>
      </c>
    </row>
  </sheetData>
  <mergeCells count="2">
    <mergeCell ref="A1:C1"/>
    <mergeCell ref="A2:C2"/>
  </mergeCells>
  <phoneticPr fontId="19" type="noConversion"/>
  <pageMargins left="0.75" right="0.75" top="1" bottom="1" header="0.5" footer="0.5"/>
  <pageSetup paperSize="9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List</vt:lpstr>
      <vt:lpstr>Catalog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 zhou</cp:lastModifiedBy>
  <dcterms:created xsi:type="dcterms:W3CDTF">2025-11-07T07:00:03Z</dcterms:created>
  <dcterms:modified xsi:type="dcterms:W3CDTF">2025-11-07T07:01:43Z</dcterms:modified>
</cp:coreProperties>
</file>